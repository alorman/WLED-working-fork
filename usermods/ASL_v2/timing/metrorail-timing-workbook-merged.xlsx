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README" sheetId="1" state="visible" r:id="rId3"/>
    <sheet name="Red" sheetId="2" state="visible" r:id="rId4"/>
    <sheet name="Orange" sheetId="3" state="visible" r:id="rId5"/>
    <sheet name="Blue" sheetId="4" state="visible" r:id="rId6"/>
    <sheet name="Green" sheetId="5" state="visible" r:id="rId7"/>
    <sheet name="Yellow" sheetId="6" state="visible" r:id="rId8"/>
    <sheet name="Silver" sheetId="7" state="visible" r:id="rId9"/>
    <sheet name="Stations"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<sst xmlns="http://schemas.openxmlformats.org/spreadsheetml/2006/main" count="656" uniqueCount="294">
  <si>
    <t xml:space="preserve">WMATA Metrorail - segment timing workbook</t>
  </si>
  <si>
    <t xml:space="preserve">One tab per line. Each tab alternates station rows and segment rows, top to bottom in running order. Both kinds of row use the same three Pass columns.</t>
  </si>
  <si>
    <t xml:space="preserve">WHAT GOES WHERE</t>
  </si>
  <si>
    <t xml:space="preserve">   On a STATION row  =  time at the station, doors open to doors closed.</t>
  </si>
  <si>
    <t xml:space="preserve">   On a SEGMENT row  =  time between stations, doors closed to doors open at the next.</t>
  </si>
  <si>
    <t xml:space="preserve">HOW TO TYPE A TIME  -  no colons, no decimal point, just the digits off the stopwatch.</t>
  </si>
  <si>
    <t xml:space="preserve">        stopwatch reads        you type</t>
  </si>
  <si>
    <t xml:space="preserve">        1:35                   135</t>
  </si>
  <si>
    <t xml:space="preserve">        0:47                   47</t>
  </si>
  <si>
    <t xml:space="preserve">        12:08                  1208</t>
  </si>
  <si>
    <t xml:space="preserve">        2:00                   200</t>
  </si>
  <si>
    <t xml:space="preserve">Read the last two digits as seconds and anything before them as minutes. Because that is exactly how the stopwatch displays it, there is no mental arithmetic and nothing to convert - you transcribe what you see. The sheet does the rest.</t>
  </si>
  <si>
    <t xml:space="preserve">Seconds must be 00-59. Type 160 and the sheet flags it red, because that should be 200.</t>
  </si>
  <si>
    <t xml:space="preserve">Three passes per tab. Leave later passes blank until you ride them - blanks are ignored by the averages, so partial data works from the first ride.</t>
  </si>
  <si>
    <t xml:space="preserve">SHARED TRACK.  Some segment rows are marked as rails you will have already timed on an earlier line. They are yours to skip or to repeat - the cells work either way. Skipping every one takes the job from 143 measurements down to 100.</t>
  </si>
  <si>
    <t xml:space="preserve">AVERAGE and CUMULATIVE are formulas, so leave them alone. Cumulative is running elapsed time from the top of the line, which means the last row of each tab is that line's end-to-end time. The box at the top right repeats it.</t>
  </si>
  <si>
    <t xml:space="preserve">Stations is a reference tab: every station, its lines, and whether it is a transfer.</t>
  </si>
  <si>
    <t xml:space="preserve">Worked example - Red Line, first two rows</t>
  </si>
  <si>
    <t xml:space="preserve">   Shady Grove            Pass 1 = 42     doors open 42 seconds</t>
  </si>
  <si>
    <t xml:space="preserve">   time to Rockville      Pass 1 = 303    3 min 3 sec between platforms</t>
  </si>
  <si>
    <t xml:space="preserve">Per line</t>
  </si>
  <si>
    <t xml:space="preserve">Line</t>
  </si>
  <si>
    <t xml:space="preserve">Stations</t>
  </si>
  <si>
    <t xml:space="preserve">Segments</t>
  </si>
  <si>
    <t xml:space="preserve">Unique</t>
  </si>
  <si>
    <t xml:space="preserve">Red</t>
  </si>
  <si>
    <t xml:space="preserve">Orange</t>
  </si>
  <si>
    <t xml:space="preserve">Blue</t>
  </si>
  <si>
    <t xml:space="preserve">Green</t>
  </si>
  <si>
    <t xml:space="preserve">Yellow</t>
  </si>
  <si>
    <t xml:space="preserve">Silver</t>
  </si>
  <si>
    <t xml:space="preserve">Total</t>
  </si>
  <si>
    <t xml:space="preserve">98 unique</t>
  </si>
  <si>
    <t xml:space="preserve">Red Line</t>
  </si>
  <si>
    <t xml:space="preserve">Shady Grove  to  Glenmont</t>
  </si>
  <si>
    <t xml:space="preserve">Date</t>
  </si>
  <si>
    <t xml:space="preserve">Day / time of day</t>
  </si>
  <si>
    <t xml:space="preserve">Direction</t>
  </si>
  <si>
    <t xml:space="preserve">Segments on this line</t>
  </si>
  <si>
    <t xml:space="preserve">of those, shared track</t>
  </si>
  <si>
    <t xml:space="preserve">digits only, as the stopwatch shows them:  135  =  1 min 35 sec</t>
  </si>
  <si>
    <t xml:space="preserve">End to end</t>
  </si>
  <si>
    <t xml:space="preserve">Station  /  segment</t>
  </si>
  <si>
    <t xml:space="preserve">Pass 1</t>
  </si>
  <si>
    <t xml:space="preserve">Pass 2</t>
  </si>
  <si>
    <t xml:space="preserve">Pass 3</t>
  </si>
  <si>
    <t xml:space="preserve">Average</t>
  </si>
  <si>
    <t xml:space="preserve">Cumulative</t>
  </si>
  <si>
    <t xml:space="preserve">Shady Grove</t>
  </si>
  <si>
    <t xml:space="preserve">      time to Rockville</t>
  </si>
  <si>
    <t xml:space="preserve">Rockville</t>
  </si>
  <si>
    <t xml:space="preserve">      time to Twinbrook</t>
  </si>
  <si>
    <t xml:space="preserve">Twinbrook</t>
  </si>
  <si>
    <t xml:space="preserve">      time to North Bethesda</t>
  </si>
  <si>
    <t xml:space="preserve">North Bethesda</t>
  </si>
  <si>
    <t xml:space="preserve">      time to Grosvenor-Strathmore</t>
  </si>
  <si>
    <t xml:space="preserve">Grosvenor-Strathmore</t>
  </si>
  <si>
    <t xml:space="preserve">      time to Medical Center</t>
  </si>
  <si>
    <t xml:space="preserve">Medical Center</t>
  </si>
  <si>
    <t xml:space="preserve">      time to Bethesda</t>
  </si>
  <si>
    <t xml:space="preserve">Bethesda</t>
  </si>
  <si>
    <t xml:space="preserve">      time to Friendship Heights</t>
  </si>
  <si>
    <t xml:space="preserve">Friendship Heights</t>
  </si>
  <si>
    <t xml:space="preserve">      time to Tenleytown-AU</t>
  </si>
  <si>
    <t xml:space="preserve">Tenleytown-AU</t>
  </si>
  <si>
    <t xml:space="preserve">      time to Van Ness-UDC</t>
  </si>
  <si>
    <t xml:space="preserve">Van Ness-UDC</t>
  </si>
  <si>
    <t xml:space="preserve">      time to Cleveland Park</t>
  </si>
  <si>
    <t xml:space="preserve">Cleveland Park</t>
  </si>
  <si>
    <t xml:space="preserve">      time to Woodley Park-Zoo</t>
  </si>
  <si>
    <t xml:space="preserve">Woodley Park-Zoo</t>
  </si>
  <si>
    <t xml:space="preserve">      time to Dupont Circle</t>
  </si>
  <si>
    <t xml:space="preserve">Dupont Circle</t>
  </si>
  <si>
    <t xml:space="preserve">      time to Farragut North</t>
  </si>
  <si>
    <t xml:space="preserve">Farragut North</t>
  </si>
  <si>
    <t xml:space="preserve">      time to Metro Center</t>
  </si>
  <si>
    <t xml:space="preserve">Metro Center</t>
  </si>
  <si>
    <t xml:space="preserve">      time to Gallery Place-Chinatown</t>
  </si>
  <si>
    <t xml:space="preserve">Gallery Place-Chinatown</t>
  </si>
  <si>
    <t xml:space="preserve">      time to Judiciary Square</t>
  </si>
  <si>
    <t xml:space="preserve">Judiciary Square</t>
  </si>
  <si>
    <t xml:space="preserve">      time to Union Station</t>
  </si>
  <si>
    <t xml:space="preserve">Union Station</t>
  </si>
  <si>
    <t xml:space="preserve">      time to NoMa-Gallaudet U</t>
  </si>
  <si>
    <t xml:space="preserve">NoMa-Gallaudet U</t>
  </si>
  <si>
    <t xml:space="preserve">      time to Rhode Island Ave-Brentwood</t>
  </si>
  <si>
    <t xml:space="preserve">Rhode Island Ave-Brentwood</t>
  </si>
  <si>
    <t xml:space="preserve">      time to Brookland-CUA</t>
  </si>
  <si>
    <t xml:space="preserve">Brookland-CUA</t>
  </si>
  <si>
    <t xml:space="preserve">      time to Fort Totten</t>
  </si>
  <si>
    <t xml:space="preserve">Fort Totten</t>
  </si>
  <si>
    <t xml:space="preserve">      time to Takoma</t>
  </si>
  <si>
    <t xml:space="preserve">Takoma</t>
  </si>
  <si>
    <t xml:space="preserve">      time to Silver Spring</t>
  </si>
  <si>
    <t xml:space="preserve">Silver Spring</t>
  </si>
  <si>
    <t xml:space="preserve">      time to Forest Glen</t>
  </si>
  <si>
    <t xml:space="preserve">Forest Glen</t>
  </si>
  <si>
    <t xml:space="preserve">      time to Wheaton</t>
  </si>
  <si>
    <t xml:space="preserve">Wheaton</t>
  </si>
  <si>
    <t xml:space="preserve">      time to Glenmont</t>
  </si>
  <si>
    <t xml:space="preserve">Glenmont</t>
  </si>
  <si>
    <t xml:space="preserve">Orange Line</t>
  </si>
  <si>
    <t xml:space="preserve">Vienna/Fairfax-GMU  to  New Carrollton</t>
  </si>
  <si>
    <t xml:space="preserve">Vienna/Fairfax-GMU</t>
  </si>
  <si>
    <t xml:space="preserve">      time to Dunn Loring-Merrifield</t>
  </si>
  <si>
    <t xml:space="preserve">Dunn Loring-Merrifield</t>
  </si>
  <si>
    <t xml:space="preserve">      time to West Falls Church</t>
  </si>
  <si>
    <t xml:space="preserve">West Falls Church</t>
  </si>
  <si>
    <t xml:space="preserve">      time to East Falls Church</t>
  </si>
  <si>
    <t xml:space="preserve">East Falls Church</t>
  </si>
  <si>
    <t xml:space="preserve">      time to Ballston-MU</t>
  </si>
  <si>
    <t xml:space="preserve">Ballston-MU</t>
  </si>
  <si>
    <t xml:space="preserve">      time to Virginia Square-GMU</t>
  </si>
  <si>
    <t xml:space="preserve">Virginia Square-GMU</t>
  </si>
  <si>
    <t xml:space="preserve">      time to Clarendon</t>
  </si>
  <si>
    <t xml:space="preserve">Clarendon</t>
  </si>
  <si>
    <t xml:space="preserve">      time to Court House</t>
  </si>
  <si>
    <t xml:space="preserve">Court House</t>
  </si>
  <si>
    <t xml:space="preserve">      time to Rosslyn</t>
  </si>
  <si>
    <t xml:space="preserve">Rosslyn</t>
  </si>
  <si>
    <t xml:space="preserve">      time to Foggy Bottom-GWU</t>
  </si>
  <si>
    <t xml:space="preserve">Foggy Bottom-GWU</t>
  </si>
  <si>
    <t xml:space="preserve">      time to Farragut West</t>
  </si>
  <si>
    <t xml:space="preserve">Farragut West</t>
  </si>
  <si>
    <t xml:space="preserve">      time to McPherson Square</t>
  </si>
  <si>
    <t xml:space="preserve">McPherson Square</t>
  </si>
  <si>
    <t xml:space="preserve">      time to Federal Triangle</t>
  </si>
  <si>
    <t xml:space="preserve">Federal Triangle</t>
  </si>
  <si>
    <t xml:space="preserve">      time to Smithsonian</t>
  </si>
  <si>
    <t xml:space="preserve">Smithsonian</t>
  </si>
  <si>
    <t xml:space="preserve">      time to L'Enfant Plaza</t>
  </si>
  <si>
    <t xml:space="preserve">L'Enfant Plaza</t>
  </si>
  <si>
    <t xml:space="preserve">      time to Federal Center SW</t>
  </si>
  <si>
    <t xml:space="preserve">Federal Center SW</t>
  </si>
  <si>
    <t xml:space="preserve">      time to Capitol South</t>
  </si>
  <si>
    <t xml:space="preserve">Capitol South</t>
  </si>
  <si>
    <t xml:space="preserve">      time to Eastern Market</t>
  </si>
  <si>
    <t xml:space="preserve">Eastern Market</t>
  </si>
  <si>
    <t xml:space="preserve">      time to Potomac Ave</t>
  </si>
  <si>
    <t xml:space="preserve">Potomac Ave</t>
  </si>
  <si>
    <t xml:space="preserve">      time to Stadium-Armory</t>
  </si>
  <si>
    <t xml:space="preserve">Stadium-Armory</t>
  </si>
  <si>
    <t xml:space="preserve">      time to Minnesota Ave</t>
  </si>
  <si>
    <t xml:space="preserve">Minnesota Ave</t>
  </si>
  <si>
    <t xml:space="preserve">      time to Deanwood</t>
  </si>
  <si>
    <t xml:space="preserve">Deanwood</t>
  </si>
  <si>
    <t xml:space="preserve">      time to Cheverly</t>
  </si>
  <si>
    <t xml:space="preserve">Cheverly</t>
  </si>
  <si>
    <t xml:space="preserve">      time to Landover</t>
  </si>
  <si>
    <t xml:space="preserve">Landover</t>
  </si>
  <si>
    <t xml:space="preserve">      time to New Carrollton</t>
  </si>
  <si>
    <t xml:space="preserve">New Carrollton</t>
  </si>
  <si>
    <t xml:space="preserve">Blue Line</t>
  </si>
  <si>
    <t xml:space="preserve">Franconia-Springfield  to  Downtown Largo</t>
  </si>
  <si>
    <t xml:space="preserve">Franconia-Springfield</t>
  </si>
  <si>
    <t xml:space="preserve">      time to Van Dorn Street</t>
  </si>
  <si>
    <t xml:space="preserve">Van Dorn Street</t>
  </si>
  <si>
    <t xml:space="preserve">      time to King St-Old Town</t>
  </si>
  <si>
    <t xml:space="preserve">King St-Old Town</t>
  </si>
  <si>
    <t xml:space="preserve">      time to Braddock Road</t>
  </si>
  <si>
    <t xml:space="preserve">Braddock Road</t>
  </si>
  <si>
    <t xml:space="preserve">      time to Potomac Yard</t>
  </si>
  <si>
    <t xml:space="preserve">Potomac Yard</t>
  </si>
  <si>
    <t xml:space="preserve">      time to Reagan National Airport</t>
  </si>
  <si>
    <t xml:space="preserve">Reagan National Airport</t>
  </si>
  <si>
    <t xml:space="preserve">      time to Crystal City</t>
  </si>
  <si>
    <t xml:space="preserve">Crystal City</t>
  </si>
  <si>
    <t xml:space="preserve">      time to Pentagon City</t>
  </si>
  <si>
    <t xml:space="preserve">Pentagon City</t>
  </si>
  <si>
    <t xml:space="preserve">      time to Pentagon</t>
  </si>
  <si>
    <t xml:space="preserve">Pentagon</t>
  </si>
  <si>
    <t xml:space="preserve">      time to Arlington Cemetery</t>
  </si>
  <si>
    <t xml:space="preserve">Arlington Cemetery</t>
  </si>
  <si>
    <t xml:space="preserve">      time to Foggy Bottom-GWU      (same track as Orange)</t>
  </si>
  <si>
    <t xml:space="preserve">      time to Farragut West      (same track as Orange)</t>
  </si>
  <si>
    <t xml:space="preserve">      time to McPherson Square      (same track as Orange)</t>
  </si>
  <si>
    <t xml:space="preserve">      time to Metro Center      (same track as Orange)</t>
  </si>
  <si>
    <t xml:space="preserve">      time to Federal Triangle      (same track as Orange)</t>
  </si>
  <si>
    <t xml:space="preserve">      time to Smithsonian      (same track as Orange)</t>
  </si>
  <si>
    <t xml:space="preserve">      time to L'Enfant Plaza      (same track as Orange)</t>
  </si>
  <si>
    <t xml:space="preserve">      time to Federal Center SW      (same track as Orange)</t>
  </si>
  <si>
    <t xml:space="preserve">      time to Capitol South      (same track as Orange)</t>
  </si>
  <si>
    <t xml:space="preserve">      time to Eastern Market      (same track as Orange)</t>
  </si>
  <si>
    <t xml:space="preserve">      time to Potomac Ave      (same track as Orange)</t>
  </si>
  <si>
    <t xml:space="preserve">      time to Stadium-Armory      (same track as Orange)</t>
  </si>
  <si>
    <t xml:space="preserve">      time to Benning Road</t>
  </si>
  <si>
    <t xml:space="preserve">Benning Road</t>
  </si>
  <si>
    <t xml:space="preserve">      time to Capitol Heights</t>
  </si>
  <si>
    <t xml:space="preserve">Capitol Heights</t>
  </si>
  <si>
    <t xml:space="preserve">      time to Addison Road-Seat Pleasant</t>
  </si>
  <si>
    <t xml:space="preserve">Addison Road-Seat Pleasant</t>
  </si>
  <si>
    <t xml:space="preserve">      time to Morgan Boulevard</t>
  </si>
  <si>
    <t xml:space="preserve">Morgan Boulevard</t>
  </si>
  <si>
    <t xml:space="preserve">      time to Downtown Largo</t>
  </si>
  <si>
    <t xml:space="preserve">Downtown Largo</t>
  </si>
  <si>
    <t xml:space="preserve">Green Line</t>
  </si>
  <si>
    <t xml:space="preserve">Greenbelt  to  Branch Avenue</t>
  </si>
  <si>
    <t xml:space="preserve">Greenbelt</t>
  </si>
  <si>
    <t xml:space="preserve">      time to College Park-U of Md</t>
  </si>
  <si>
    <t xml:space="preserve">College Park-U of Md</t>
  </si>
  <si>
    <t xml:space="preserve">      time to Hyattsville Crossing</t>
  </si>
  <si>
    <t xml:space="preserve">Hyattsville Crossing</t>
  </si>
  <si>
    <t xml:space="preserve">      time to West Hyattsville</t>
  </si>
  <si>
    <t xml:space="preserve">West Hyattsville</t>
  </si>
  <si>
    <t xml:space="preserve">      time to Georgia Ave-Petworth</t>
  </si>
  <si>
    <t xml:space="preserve">Georgia Ave-Petworth</t>
  </si>
  <si>
    <t xml:space="preserve">      time to Columbia Heights</t>
  </si>
  <si>
    <t xml:space="preserve">Columbia Heights</t>
  </si>
  <si>
    <t xml:space="preserve">      time to U Street/Cardozo</t>
  </si>
  <si>
    <t xml:space="preserve">U Street/Cardozo</t>
  </si>
  <si>
    <t xml:space="preserve">      time to Shaw-Howard U</t>
  </si>
  <si>
    <t xml:space="preserve">Shaw-Howard U</t>
  </si>
  <si>
    <t xml:space="preserve">      time to Mt Vernon Sq-7th St</t>
  </si>
  <si>
    <t xml:space="preserve">Mt Vernon Sq-7th St</t>
  </si>
  <si>
    <t xml:space="preserve">      time to Archives-Navy Memorial</t>
  </si>
  <si>
    <t xml:space="preserve">Archives-Navy Memorial</t>
  </si>
  <si>
    <t xml:space="preserve">      time to Waterfront</t>
  </si>
  <si>
    <t xml:space="preserve">Waterfront</t>
  </si>
  <si>
    <t xml:space="preserve">      time to Navy Yard-Ballpark</t>
  </si>
  <si>
    <t xml:space="preserve">Navy Yard-Ballpark</t>
  </si>
  <si>
    <t xml:space="preserve">      time to Anacostia</t>
  </si>
  <si>
    <t xml:space="preserve">Anacostia</t>
  </si>
  <si>
    <t xml:space="preserve">      time to Congress Heights</t>
  </si>
  <si>
    <t xml:space="preserve">Congress Heights</t>
  </si>
  <si>
    <t xml:space="preserve">      time to Southern Avenue</t>
  </si>
  <si>
    <t xml:space="preserve">Southern Avenue</t>
  </si>
  <si>
    <t xml:space="preserve">      time to Naylor Road</t>
  </si>
  <si>
    <t xml:space="preserve">Naylor Road</t>
  </si>
  <si>
    <t xml:space="preserve">      time to Suitland</t>
  </si>
  <si>
    <t xml:space="preserve">Suitland</t>
  </si>
  <si>
    <t xml:space="preserve">      time to Branch Avenue</t>
  </si>
  <si>
    <t xml:space="preserve">Branch Avenue</t>
  </si>
  <si>
    <t xml:space="preserve">Yellow Line</t>
  </si>
  <si>
    <t xml:space="preserve">Huntington  to  Mt Vernon Sq-7th St</t>
  </si>
  <si>
    <t xml:space="preserve">Huntington</t>
  </si>
  <si>
    <t xml:space="preserve">      time to Eisenhower Avenue</t>
  </si>
  <si>
    <t xml:space="preserve">Eisenhower Avenue</t>
  </si>
  <si>
    <t xml:space="preserve">      time to Braddock Road      (same track as Blue)</t>
  </si>
  <si>
    <t xml:space="preserve">      time to Potomac Yard      (same track as Blue)</t>
  </si>
  <si>
    <t xml:space="preserve">      time to Reagan National Airport      (same track as Blue)</t>
  </si>
  <si>
    <t xml:space="preserve">      time to Crystal City      (same track as Blue)</t>
  </si>
  <si>
    <t xml:space="preserve">      time to Pentagon City      (same track as Blue)</t>
  </si>
  <si>
    <t xml:space="preserve">      time to Pentagon      (same track as Blue)</t>
  </si>
  <si>
    <t xml:space="preserve">      time to Archives-Navy Memorial      (same track as Green)</t>
  </si>
  <si>
    <t xml:space="preserve">      time to Gallery Place-Chinatown      (same track as Green)</t>
  </si>
  <si>
    <t xml:space="preserve">      time to Mt Vernon Sq-7th St      (same track as Green)</t>
  </si>
  <si>
    <t xml:space="preserve">Silver Line</t>
  </si>
  <si>
    <t xml:space="preserve">Ashburn  to  Downtown Largo</t>
  </si>
  <si>
    <t xml:space="preserve">Ashburn</t>
  </si>
  <si>
    <t xml:space="preserve">      time to Loudoun Gateway</t>
  </si>
  <si>
    <t xml:space="preserve">Loudoun Gateway</t>
  </si>
  <si>
    <t xml:space="preserve">      time to Washington Dulles Intl</t>
  </si>
  <si>
    <t xml:space="preserve">Washington Dulles Intl</t>
  </si>
  <si>
    <t xml:space="preserve">      time to Innovation Center</t>
  </si>
  <si>
    <t xml:space="preserve">Innovation Center</t>
  </si>
  <si>
    <t xml:space="preserve">      time to Herndon</t>
  </si>
  <si>
    <t xml:space="preserve">Herndon</t>
  </si>
  <si>
    <t xml:space="preserve">      time to Reston Town Center</t>
  </si>
  <si>
    <t xml:space="preserve">Reston Town Center</t>
  </si>
  <si>
    <t xml:space="preserve">      time to Wiehle-Reston East</t>
  </si>
  <si>
    <t xml:space="preserve">Wiehle-Reston East</t>
  </si>
  <si>
    <t xml:space="preserve">      time to Spring Hill</t>
  </si>
  <si>
    <t xml:space="preserve">Spring Hill</t>
  </si>
  <si>
    <t xml:space="preserve">      time to Greensboro</t>
  </si>
  <si>
    <t xml:space="preserve">Greensboro</t>
  </si>
  <si>
    <t xml:space="preserve">      time to Tysons</t>
  </si>
  <si>
    <t xml:space="preserve">Tysons</t>
  </si>
  <si>
    <t xml:space="preserve">      time to McLean</t>
  </si>
  <si>
    <t xml:space="preserve">McLean</t>
  </si>
  <si>
    <t xml:space="preserve">      time to Ballston-MU      (same track as Orange)</t>
  </si>
  <si>
    <t xml:space="preserve">      time to Virginia Square-GMU      (same track as Orange)</t>
  </si>
  <si>
    <t xml:space="preserve">      time to Clarendon      (same track as Orange)</t>
  </si>
  <si>
    <t xml:space="preserve">      time to Court House      (same track as Orange)</t>
  </si>
  <si>
    <t xml:space="preserve">      time to Rosslyn      (same track as Orange)</t>
  </si>
  <si>
    <t xml:space="preserve">      time to Benning Road      (same track as Blue)</t>
  </si>
  <si>
    <t xml:space="preserve">      time to Capitol Heights      (same track as Blue)</t>
  </si>
  <si>
    <t xml:space="preserve">      time to Addison Road-Seat Pleasant      (same track as Blue)</t>
  </si>
  <si>
    <t xml:space="preserve">      time to Morgan Boulevard      (same track as Blue)</t>
  </si>
  <si>
    <t xml:space="preserve">      time to Downtown Largo      (same track as Blue)</t>
  </si>
  <si>
    <t xml:space="preserve">All stations</t>
  </si>
  <si>
    <t xml:space="preserve">Station</t>
  </si>
  <si>
    <t xml:space="preserve">Lines</t>
  </si>
  <si>
    <t xml:space="preserve">Transfer</t>
  </si>
  <si>
    <t xml:space="preserve">Blue, Silver</t>
  </si>
  <si>
    <t xml:space="preserve">yes</t>
  </si>
  <si>
    <t xml:space="preserve">Green, Yellow</t>
  </si>
  <si>
    <t xml:space="preserve">Orange, Silver</t>
  </si>
  <si>
    <t xml:space="preserve">Blue, Yellow</t>
  </si>
  <si>
    <t xml:space="preserve">Orange, Blue, Silver</t>
  </si>
  <si>
    <t xml:space="preserve">Red, Green</t>
  </si>
  <si>
    <t xml:space="preserve">Red, Green, Yellow</t>
  </si>
  <si>
    <t xml:space="preserve">Orange, Blue, Green, Yellow, Silver</t>
  </si>
  <si>
    <t xml:space="preserve">Red, Orange, Blue, Silver</t>
  </si>
  <si>
    <t xml:space="preserve">98 unique stations</t>
  </si>
</sst>
</file>

<file path=xl/styles.xml><?xml version="1.0" encoding="utf-8"?>
<styleSheet xmlns="http://schemas.openxmlformats.org/spreadsheetml/2006/main">
  <numFmts count="4">
    <numFmt numFmtId="164" formatCode="General"/>
    <numFmt numFmtId="165" formatCode="[h]:mm:ss"/>
    <numFmt numFmtId="166" formatCode="0"/>
    <numFmt numFmtId="167" formatCode="mm:ss"/>
  </numFmts>
  <fonts count="1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9"/>
      <color rgb="FF444444"/>
      <name val="Arial"/>
      <family val="0"/>
      <charset val="1"/>
    </font>
    <font>
      <b val="true"/>
      <sz val="10"/>
      <name val="Arial"/>
      <family val="0"/>
      <charset val="1"/>
    </font>
    <font>
      <b val="true"/>
      <sz val="9"/>
      <color rgb="FFFFFFFF"/>
      <name val="Arial"/>
      <family val="0"/>
      <charset val="1"/>
    </font>
    <font>
      <sz val="10"/>
      <name val="Arial"/>
      <family val="0"/>
      <charset val="1"/>
    </font>
    <font>
      <b val="true"/>
      <sz val="14"/>
      <color rgb="FFBF0D3E"/>
      <name val="Arial"/>
      <family val="0"/>
      <charset val="1"/>
    </font>
    <font>
      <sz val="9"/>
      <color rgb="FF808080"/>
      <name val="Arial"/>
      <family val="0"/>
      <charset val="1"/>
    </font>
    <font>
      <b val="true"/>
      <sz val="11"/>
      <name val="Arial"/>
      <family val="0"/>
      <charset val="1"/>
    </font>
    <font>
      <i val="true"/>
      <sz val="9"/>
      <color rgb="FF555555"/>
      <name val="Arial"/>
      <family val="0"/>
      <charset val="1"/>
    </font>
    <font>
      <b val="true"/>
      <sz val="14"/>
      <color rgb="FFED8B00"/>
      <name val="Arial"/>
      <family val="0"/>
      <charset val="1"/>
    </font>
    <font>
      <b val="true"/>
      <sz val="14"/>
      <color rgb="FF0077C0"/>
      <name val="Arial"/>
      <family val="0"/>
      <charset val="1"/>
    </font>
    <font>
      <i val="true"/>
      <sz val="9"/>
      <color rgb="FF7F6000"/>
      <name val="Arial"/>
      <family val="0"/>
      <charset val="1"/>
    </font>
    <font>
      <b val="true"/>
      <sz val="14"/>
      <color rgb="FF00B140"/>
      <name val="Arial"/>
      <family val="0"/>
      <charset val="1"/>
    </font>
    <font>
      <b val="true"/>
      <sz val="14"/>
      <color rgb="FFFFD100"/>
      <name val="Arial"/>
      <family val="0"/>
      <charset val="1"/>
    </font>
    <font>
      <b val="true"/>
      <sz val="14"/>
      <color rgb="FF919D9D"/>
      <name val="Arial"/>
      <family val="0"/>
      <charset val="1"/>
    </font>
  </fonts>
  <fills count="4">
    <fill>
      <patternFill patternType="none"/>
    </fill>
    <fill>
      <patternFill patternType="gray125"/>
    </fill>
    <fill>
      <patternFill patternType="solid">
        <fgColor rgb="FF404040"/>
        <bgColor rgb="FF444444"/>
      </patternFill>
    </fill>
    <fill>
      <patternFill patternType="solid">
        <fgColor rgb="FFFFF2CC"/>
        <bgColor rgb="FFFFFFFF"/>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7" fillId="2" borderId="0" xfId="0" applyFont="true" applyBorder="false" applyAlignment="true" applyProtection="false">
      <alignment horizontal="center" vertical="center" textRotation="0" wrapText="true" indent="0" shrinkToFit="false"/>
      <protection locked="true" hidden="false"/>
    </xf>
    <xf numFmtId="166" fontId="0" fillId="3" borderId="1" xfId="0" applyFont="false" applyBorder="tru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0" fillId="3" borderId="2" xfId="0" applyFont="fals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b val="1"/>
        <color rgb="FFC00000"/>
        <sz val="1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BF0D3E"/>
      <rgbColor rgb="FFFFF2CC"/>
      <rgbColor rgb="FFCCFFFF"/>
      <rgbColor rgb="FF660066"/>
      <rgbColor rgb="FFFF8080"/>
      <rgbColor rgb="FF0077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D100"/>
      <rgbColor rgb="FFED8B00"/>
      <rgbColor rgb="FFFF6600"/>
      <rgbColor rgb="FF555555"/>
      <rgbColor rgb="FF919D9D"/>
      <rgbColor rgb="FF003366"/>
      <rgbColor rgb="FF00B140"/>
      <rgbColor rgb="FF003300"/>
      <rgbColor rgb="FF444444"/>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
    <col collapsed="false" customWidth="true" hidden="false" outlineLevel="0" max="2" min="2" style="0" width="100"/>
    <col collapsed="false" customWidth="true" hidden="false" outlineLevel="0" max="5" min="3" style="0" width="12"/>
  </cols>
  <sheetData>
    <row r="2" customFormat="false" ht="18" hidden="false" customHeight="true" outlineLevel="0" collapsed="false">
      <c r="B2" s="1" t="s">
        <v>0</v>
      </c>
    </row>
    <row r="4" customFormat="false" ht="24" hidden="false" customHeight="true" outlineLevel="0" collapsed="false">
      <c r="B4" s="2" t="s">
        <v>1</v>
      </c>
    </row>
    <row r="5" customFormat="false" ht="15" hidden="false" customHeight="false" outlineLevel="0" collapsed="false">
      <c r="B5" s="2"/>
    </row>
    <row r="6" customFormat="false" ht="15" hidden="false" customHeight="false" outlineLevel="0" collapsed="false">
      <c r="B6" s="2" t="s">
        <v>2</v>
      </c>
    </row>
    <row r="7" customFormat="false" ht="15" hidden="false" customHeight="false" outlineLevel="0" collapsed="false">
      <c r="B7" s="2" t="s">
        <v>3</v>
      </c>
    </row>
    <row r="8" customFormat="false" ht="15" hidden="false" customHeight="false" outlineLevel="0" collapsed="false">
      <c r="B8" s="2" t="s">
        <v>4</v>
      </c>
    </row>
    <row r="9" customFormat="false" ht="15" hidden="false" customHeight="false" outlineLevel="0" collapsed="false">
      <c r="B9" s="2"/>
    </row>
    <row r="10" customFormat="false" ht="15" hidden="false" customHeight="false" outlineLevel="0" collapsed="false">
      <c r="B10" s="2" t="s">
        <v>5</v>
      </c>
    </row>
    <row r="11" customFormat="false" ht="15" hidden="false" customHeight="false" outlineLevel="0" collapsed="false">
      <c r="B11" s="2"/>
    </row>
    <row r="12" customFormat="false" ht="15" hidden="false" customHeight="false" outlineLevel="0" collapsed="false">
      <c r="B12" s="2" t="s">
        <v>6</v>
      </c>
    </row>
    <row r="13" customFormat="false" ht="15" hidden="false" customHeight="false" outlineLevel="0" collapsed="false">
      <c r="B13" s="2" t="s">
        <v>7</v>
      </c>
    </row>
    <row r="14" customFormat="false" ht="15" hidden="false" customHeight="false" outlineLevel="0" collapsed="false">
      <c r="B14" s="2" t="s">
        <v>8</v>
      </c>
    </row>
    <row r="15" customFormat="false" ht="15" hidden="false" customHeight="false" outlineLevel="0" collapsed="false">
      <c r="B15" s="2" t="s">
        <v>9</v>
      </c>
    </row>
    <row r="16" customFormat="false" ht="15" hidden="false" customHeight="false" outlineLevel="0" collapsed="false">
      <c r="B16" s="2" t="s">
        <v>10</v>
      </c>
    </row>
    <row r="17" customFormat="false" ht="15" hidden="false" customHeight="false" outlineLevel="0" collapsed="false">
      <c r="B17" s="2"/>
    </row>
    <row r="18" customFormat="false" ht="24" hidden="false" customHeight="true" outlineLevel="0" collapsed="false">
      <c r="B18" s="2" t="s">
        <v>11</v>
      </c>
    </row>
    <row r="19" customFormat="false" ht="15" hidden="false" customHeight="false" outlineLevel="0" collapsed="false">
      <c r="B19" s="2"/>
    </row>
    <row r="20" customFormat="false" ht="15" hidden="false" customHeight="false" outlineLevel="0" collapsed="false">
      <c r="B20" s="2" t="s">
        <v>12</v>
      </c>
    </row>
    <row r="21" customFormat="false" ht="15" hidden="false" customHeight="false" outlineLevel="0" collapsed="false">
      <c r="B21" s="2"/>
    </row>
    <row r="22" customFormat="false" ht="24" hidden="false" customHeight="true" outlineLevel="0" collapsed="false">
      <c r="B22" s="2" t="s">
        <v>13</v>
      </c>
    </row>
    <row r="23" customFormat="false" ht="15" hidden="false" customHeight="false" outlineLevel="0" collapsed="false">
      <c r="B23" s="2"/>
    </row>
    <row r="24" customFormat="false" ht="24" hidden="false" customHeight="true" outlineLevel="0" collapsed="false">
      <c r="B24" s="2" t="s">
        <v>14</v>
      </c>
    </row>
    <row r="25" customFormat="false" ht="15" hidden="false" customHeight="false" outlineLevel="0" collapsed="false">
      <c r="B25" s="2"/>
    </row>
    <row r="26" customFormat="false" ht="24" hidden="false" customHeight="true" outlineLevel="0" collapsed="false">
      <c r="B26" s="2" t="s">
        <v>15</v>
      </c>
    </row>
    <row r="27" customFormat="false" ht="15" hidden="false" customHeight="false" outlineLevel="0" collapsed="false">
      <c r="B27" s="2"/>
    </row>
    <row r="28" customFormat="false" ht="15" hidden="false" customHeight="false" outlineLevel="0" collapsed="false">
      <c r="B28" s="2" t="s">
        <v>16</v>
      </c>
    </row>
    <row r="30" customFormat="false" ht="15" hidden="false" customHeight="false" outlineLevel="0" collapsed="false">
      <c r="B30" s="3" t="s">
        <v>17</v>
      </c>
    </row>
    <row r="31" customFormat="false" ht="15" hidden="false" customHeight="false" outlineLevel="0" collapsed="false">
      <c r="B31" s="2" t="s">
        <v>18</v>
      </c>
    </row>
    <row r="32" customFormat="false" ht="15" hidden="false" customHeight="false" outlineLevel="0" collapsed="false">
      <c r="B32" s="2" t="s">
        <v>19</v>
      </c>
    </row>
    <row r="35" customFormat="false" ht="15" hidden="false" customHeight="false" outlineLevel="0" collapsed="false">
      <c r="B35" s="3" t="s">
        <v>20</v>
      </c>
    </row>
    <row r="36" customFormat="false" ht="15" hidden="false" customHeight="false" outlineLevel="0" collapsed="false">
      <c r="B36" s="4" t="s">
        <v>21</v>
      </c>
      <c r="C36" s="4" t="s">
        <v>22</v>
      </c>
      <c r="D36" s="4" t="s">
        <v>23</v>
      </c>
      <c r="E36" s="4" t="s">
        <v>24</v>
      </c>
    </row>
    <row r="37" customFormat="false" ht="15" hidden="false" customHeight="false" outlineLevel="0" collapsed="false">
      <c r="B37" s="5" t="s">
        <v>25</v>
      </c>
      <c r="C37" s="5" t="n">
        <v>27</v>
      </c>
      <c r="D37" s="5" t="n">
        <v>26</v>
      </c>
      <c r="E37" s="5" t="n">
        <v>26</v>
      </c>
    </row>
    <row r="38" customFormat="false" ht="15" hidden="false" customHeight="false" outlineLevel="0" collapsed="false">
      <c r="B38" s="5" t="s">
        <v>26</v>
      </c>
      <c r="C38" s="5" t="n">
        <v>26</v>
      </c>
      <c r="D38" s="5" t="n">
        <v>25</v>
      </c>
      <c r="E38" s="5" t="n">
        <v>25</v>
      </c>
    </row>
    <row r="39" customFormat="false" ht="15" hidden="false" customHeight="false" outlineLevel="0" collapsed="false">
      <c r="B39" s="5" t="s">
        <v>27</v>
      </c>
      <c r="C39" s="5" t="n">
        <v>28</v>
      </c>
      <c r="D39" s="5" t="n">
        <v>27</v>
      </c>
      <c r="E39" s="5" t="n">
        <v>15</v>
      </c>
    </row>
    <row r="40" customFormat="false" ht="15" hidden="false" customHeight="false" outlineLevel="0" collapsed="false">
      <c r="B40" s="5" t="s">
        <v>28</v>
      </c>
      <c r="C40" s="5" t="n">
        <v>21</v>
      </c>
      <c r="D40" s="5" t="n">
        <v>20</v>
      </c>
      <c r="E40" s="5" t="n">
        <v>20</v>
      </c>
    </row>
    <row r="41" customFormat="false" ht="15" hidden="false" customHeight="false" outlineLevel="0" collapsed="false">
      <c r="B41" s="5" t="s">
        <v>29</v>
      </c>
      <c r="C41" s="5" t="n">
        <v>13</v>
      </c>
      <c r="D41" s="5" t="n">
        <v>12</v>
      </c>
      <c r="E41" s="5" t="n">
        <v>3</v>
      </c>
    </row>
    <row r="42" customFormat="false" ht="15" hidden="false" customHeight="false" outlineLevel="0" collapsed="false">
      <c r="B42" s="5" t="s">
        <v>30</v>
      </c>
      <c r="C42" s="5" t="n">
        <v>34</v>
      </c>
      <c r="D42" s="5" t="n">
        <v>33</v>
      </c>
      <c r="E42" s="5" t="n">
        <v>11</v>
      </c>
    </row>
    <row r="43" customFormat="false" ht="15" hidden="false" customHeight="false" outlineLevel="0" collapsed="false">
      <c r="B43" s="3" t="s">
        <v>31</v>
      </c>
      <c r="C43" s="3" t="s">
        <v>32</v>
      </c>
      <c r="D43" s="3" t="n">
        <v>143</v>
      </c>
      <c r="E43" s="3" t="n">
        <v>100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D3E"/>
    <pageSetUpPr fitToPage="false"/>
  </sheetPr>
  <dimension ref="A1:I6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29" activePane="bottomRight" state="frozen"/>
      <selection pane="topLeft" activeCell="A1" activeCellId="0" sqref="A1"/>
      <selection pane="topRight" activeCell="B1" activeCellId="0" sqref="B1"/>
      <selection pane="bottomLeft" activeCell="A29" activeCellId="0" sqref="A29"/>
      <selection pane="bottomRight" activeCell="B36" activeCellId="0" sqref="B36"/>
    </sheetView>
  </sheetViews>
  <sheetFormatPr defaultColWidth="8.71484375" defaultRowHeight="15" zeroHeight="false" outlineLevelRow="0" outlineLevelCol="0"/>
  <cols>
    <col collapsed="false" customWidth="true" hidden="false" outlineLevel="0" max="1" min="1" style="0" width="36"/>
    <col collapsed="false" customWidth="true" hidden="false" outlineLevel="0" max="4" min="2" style="0" width="10"/>
    <col collapsed="false" customWidth="true" hidden="false" outlineLevel="0" max="5" min="5" style="0" width="11"/>
    <col collapsed="false" customWidth="true" hidden="false" outlineLevel="0" max="6" min="6" style="0" width="13"/>
    <col collapsed="false" customWidth="true" hidden="false" outlineLevel="0" max="7" min="7" style="0" width="3"/>
    <col collapsed="false" customWidth="true" hidden="false" outlineLevel="0" max="8" min="8" style="0" width="21"/>
    <col collapsed="false" customWidth="true" hidden="false" outlineLevel="0" max="9" min="9" style="0" width="12"/>
  </cols>
  <sheetData>
    <row r="1" customFormat="false" ht="18" hidden="false" customHeight="true" outlineLevel="0" collapsed="false">
      <c r="A1" s="6" t="s">
        <v>33</v>
      </c>
    </row>
    <row r="2" customFormat="false" ht="15" hidden="false" customHeight="false" outlineLevel="0" collapsed="false">
      <c r="A2" s="7" t="s">
        <v>34</v>
      </c>
    </row>
    <row r="3" customFormat="false" ht="15" hidden="false" customHeight="false" outlineLevel="0" collapsed="false">
      <c r="A3" s="7" t="s">
        <v>35</v>
      </c>
      <c r="B3" s="8"/>
      <c r="C3" s="7" t="s">
        <v>36</v>
      </c>
      <c r="D3" s="8"/>
      <c r="E3" s="7" t="s">
        <v>37</v>
      </c>
      <c r="F3" s="8"/>
      <c r="H3" s="7" t="s">
        <v>22</v>
      </c>
      <c r="I3" s="3" t="n">
        <v>27</v>
      </c>
    </row>
    <row r="4" customFormat="false" ht="15" hidden="false" customHeight="false" outlineLevel="0" collapsed="false">
      <c r="H4" s="7" t="s">
        <v>38</v>
      </c>
      <c r="I4" s="3" t="n">
        <v>26</v>
      </c>
    </row>
    <row r="5" customFormat="false" ht="15" hidden="false" customHeight="false" outlineLevel="0" collapsed="false">
      <c r="H5" s="7" t="s">
        <v>39</v>
      </c>
      <c r="I5" s="3" t="n">
        <v>0</v>
      </c>
    </row>
    <row r="6" customFormat="false" ht="15" hidden="false" customHeight="false" outlineLevel="0" collapsed="false">
      <c r="B6" s="9" t="s">
        <v>40</v>
      </c>
      <c r="H6" s="7" t="s">
        <v>41</v>
      </c>
      <c r="I6" s="10" t="n">
        <f aca="false">IFERROR(SUM(E8:E60),"")</f>
        <v>0.0403703703703704</v>
      </c>
    </row>
    <row r="7" customFormat="false" ht="24" hidden="false" customHeight="true" outlineLevel="0" collapsed="false">
      <c r="A7" s="11" t="s">
        <v>42</v>
      </c>
      <c r="B7" s="12" t="s">
        <v>43</v>
      </c>
      <c r="C7" s="12" t="s">
        <v>44</v>
      </c>
      <c r="D7" s="12" t="s">
        <v>45</v>
      </c>
      <c r="E7" s="12" t="s">
        <v>46</v>
      </c>
      <c r="F7" s="12" t="s">
        <v>47</v>
      </c>
    </row>
    <row r="8" customFormat="false" ht="15" hidden="false" customHeight="false" outlineLevel="0" collapsed="false">
      <c r="A8" s="3" t="s">
        <v>48</v>
      </c>
      <c r="C8" s="13"/>
      <c r="D8" s="13"/>
      <c r="E8" s="14" t="str">
        <f aca="false">IFERROR(((INT(N(B8)/100)*60+MOD(N(B8),100))+(INT(N(C8)/100)*60+MOD(N(C8),100))+(INT(N(D8)/100)*60+MOD(N(D8),100)))/COUNT(B8:D8)/86400,"")</f>
        <v/>
      </c>
      <c r="F8" s="15" t="str">
        <f aca="false">IFERROR(E8,"")</f>
        <v/>
      </c>
    </row>
    <row r="9" customFormat="false" ht="15" hidden="false" customHeight="false" outlineLevel="0" collapsed="false">
      <c r="A9" s="16" t="s">
        <v>49</v>
      </c>
      <c r="B9" s="13" t="n">
        <v>307</v>
      </c>
      <c r="C9" s="13" t="n">
        <v>317</v>
      </c>
      <c r="D9" s="13"/>
      <c r="E9" s="14" t="n">
        <f aca="false">IFERROR(((INT(N(B9)/100)*60+MOD(N(B9),100))+(INT(N(C9)/100)*60+MOD(N(C9),100))+(INT(N(D9)/100)*60+MOD(N(D9),100)))/COUNT(B9:D9)/86400,"")</f>
        <v>0.00222222222222222</v>
      </c>
      <c r="F9" s="15" t="n">
        <f aca="false">IFERROR(N(F8)+N(E9),"")</f>
        <v>0.00222222222222222</v>
      </c>
    </row>
    <row r="10" customFormat="false" ht="15" hidden="false" customHeight="false" outlineLevel="0" collapsed="false">
      <c r="A10" s="3" t="s">
        <v>50</v>
      </c>
      <c r="B10" s="13" t="n">
        <v>24</v>
      </c>
      <c r="C10" s="13" t="n">
        <v>48</v>
      </c>
      <c r="D10" s="13"/>
      <c r="E10" s="14" t="n">
        <f aca="false">IFERROR(((INT(N(B10)/100)*60+MOD(N(B10),100))+(INT(N(C10)/100)*60+MOD(N(C10),100))+(INT(N(D10)/100)*60+MOD(N(D10),100)))/COUNT(B10:D10)/86400,"")</f>
        <v>0.000416666666666667</v>
      </c>
      <c r="F10" s="15" t="n">
        <f aca="false">IFERROR(N(F9)+N(E10),"")</f>
        <v>0.00263888888888889</v>
      </c>
    </row>
    <row r="11" customFormat="false" ht="15" hidden="false" customHeight="false" outlineLevel="0" collapsed="false">
      <c r="A11" s="16" t="s">
        <v>51</v>
      </c>
      <c r="B11" s="13" t="n">
        <v>222</v>
      </c>
      <c r="C11" s="13" t="n">
        <v>230</v>
      </c>
      <c r="D11" s="13"/>
      <c r="E11" s="14" t="n">
        <f aca="false">IFERROR(((INT(N(B11)/100)*60+MOD(N(B11),100))+(INT(N(C11)/100)*60+MOD(N(C11),100))+(INT(N(D11)/100)*60+MOD(N(D11),100)))/COUNT(B11:D11)/86400,"")</f>
        <v>0.00168981481481481</v>
      </c>
      <c r="F11" s="15" t="n">
        <f aca="false">IFERROR(N(F10)+N(E11),"")</f>
        <v>0.0043287037037037</v>
      </c>
    </row>
    <row r="12" customFormat="false" ht="15" hidden="false" customHeight="false" outlineLevel="0" collapsed="false">
      <c r="A12" s="3" t="s">
        <v>52</v>
      </c>
      <c r="B12" s="13" t="n">
        <v>27</v>
      </c>
      <c r="C12" s="13" t="n">
        <v>24</v>
      </c>
      <c r="D12" s="13"/>
      <c r="E12" s="14" t="n">
        <f aca="false">IFERROR(((INT(N(B12)/100)*60+MOD(N(B12),100))+(INT(N(C12)/100)*60+MOD(N(C12),100))+(INT(N(D12)/100)*60+MOD(N(D12),100)))/COUNT(B12:D12)/86400,"")</f>
        <v>0.000295138888888889</v>
      </c>
      <c r="F12" s="15" t="n">
        <f aca="false">IFERROR(N(F11)+N(E12),"")</f>
        <v>0.00462384259259259</v>
      </c>
    </row>
    <row r="13" customFormat="false" ht="15" hidden="false" customHeight="false" outlineLevel="0" collapsed="false">
      <c r="A13" s="16" t="s">
        <v>53</v>
      </c>
      <c r="B13" s="13" t="n">
        <v>139</v>
      </c>
      <c r="C13" s="13" t="n">
        <v>148</v>
      </c>
      <c r="D13" s="13"/>
      <c r="E13" s="14" t="n">
        <f aca="false">IFERROR(((INT(N(B13)/100)*60+MOD(N(B13),100))+(INT(N(C13)/100)*60+MOD(N(C13),100))+(INT(N(D13)/100)*60+MOD(N(D13),100)))/COUNT(B13:D13)/86400,"")</f>
        <v>0.00119791666666667</v>
      </c>
      <c r="F13" s="15" t="n">
        <f aca="false">IFERROR(N(F12)+N(E13),"")</f>
        <v>0.00582175925925926</v>
      </c>
    </row>
    <row r="14" customFormat="false" ht="15" hidden="false" customHeight="false" outlineLevel="0" collapsed="false">
      <c r="A14" s="3" t="s">
        <v>54</v>
      </c>
      <c r="B14" s="13" t="n">
        <v>30</v>
      </c>
      <c r="C14" s="13" t="n">
        <v>34</v>
      </c>
      <c r="D14" s="13"/>
      <c r="E14" s="14" t="n">
        <f aca="false">IFERROR(((INT(N(B14)/100)*60+MOD(N(B14),100))+(INT(N(C14)/100)*60+MOD(N(C14),100))+(INT(N(D14)/100)*60+MOD(N(D14),100)))/COUNT(B14:D14)/86400,"")</f>
        <v>0.00037037037037037</v>
      </c>
      <c r="F14" s="15" t="n">
        <f aca="false">IFERROR(N(F13)+N(E14),"")</f>
        <v>0.00619212962962963</v>
      </c>
    </row>
    <row r="15" customFormat="false" ht="15" hidden="false" customHeight="false" outlineLevel="0" collapsed="false">
      <c r="A15" s="16" t="s">
        <v>55</v>
      </c>
      <c r="B15" s="13" t="n">
        <v>150</v>
      </c>
      <c r="C15" s="13" t="n">
        <v>205</v>
      </c>
      <c r="D15" s="13"/>
      <c r="E15" s="14" t="n">
        <f aca="false">IFERROR(((INT(N(B15)/100)*60+MOD(N(B15),100))+(INT(N(C15)/100)*60+MOD(N(C15),100))+(INT(N(D15)/100)*60+MOD(N(D15),100)))/COUNT(B15:D15)/86400,"")</f>
        <v>0.0013599537037037</v>
      </c>
      <c r="F15" s="15" t="n">
        <f aca="false">IFERROR(N(F14)+N(E15),"")</f>
        <v>0.00755208333333333</v>
      </c>
    </row>
    <row r="16" customFormat="false" ht="15" hidden="false" customHeight="false" outlineLevel="0" collapsed="false">
      <c r="A16" s="3" t="s">
        <v>56</v>
      </c>
      <c r="B16" s="13" t="n">
        <v>24</v>
      </c>
      <c r="C16" s="13" t="n">
        <v>38</v>
      </c>
      <c r="D16" s="13"/>
      <c r="E16" s="14" t="n">
        <f aca="false">IFERROR(((INT(N(B16)/100)*60+MOD(N(B16),100))+(INT(N(C16)/100)*60+MOD(N(C16),100))+(INT(N(D16)/100)*60+MOD(N(D16),100)))/COUNT(B16:D16)/86400,"")</f>
        <v>0.000358796296296296</v>
      </c>
      <c r="F16" s="15" t="n">
        <f aca="false">IFERROR(N(F15)+N(E16),"")</f>
        <v>0.00791087962962963</v>
      </c>
    </row>
    <row r="17" customFormat="false" ht="15" hidden="false" customHeight="false" outlineLevel="0" collapsed="false">
      <c r="A17" s="16" t="s">
        <v>57</v>
      </c>
      <c r="B17" s="13" t="n">
        <v>240</v>
      </c>
      <c r="C17" s="13" t="n">
        <v>250</v>
      </c>
      <c r="D17" s="13"/>
      <c r="E17" s="14" t="n">
        <f aca="false">IFERROR(((INT(N(B17)/100)*60+MOD(N(B17),100))+(INT(N(C17)/100)*60+MOD(N(C17),100))+(INT(N(D17)/100)*60+MOD(N(D17),100)))/COUNT(B17:D17)/86400,"")</f>
        <v>0.00190972222222222</v>
      </c>
      <c r="F17" s="15" t="n">
        <f aca="false">IFERROR(N(F16)+N(E17),"")</f>
        <v>0.00982060185185185</v>
      </c>
    </row>
    <row r="18" customFormat="false" ht="15" hidden="false" customHeight="false" outlineLevel="0" collapsed="false">
      <c r="A18" s="3" t="s">
        <v>58</v>
      </c>
      <c r="B18" s="13" t="n">
        <v>32</v>
      </c>
      <c r="C18" s="13" t="n">
        <v>20</v>
      </c>
      <c r="D18" s="13"/>
      <c r="E18" s="14" t="n">
        <f aca="false">IFERROR(((INT(N(B18)/100)*60+MOD(N(B18),100))+(INT(N(C18)/100)*60+MOD(N(C18),100))+(INT(N(D18)/100)*60+MOD(N(D18),100)))/COUNT(B18:D18)/86400,"")</f>
        <v>0.000300925925925926</v>
      </c>
      <c r="F18" s="15" t="n">
        <f aca="false">IFERROR(N(F17)+N(E18),"")</f>
        <v>0.0101215277777778</v>
      </c>
    </row>
    <row r="19" customFormat="false" ht="15" hidden="false" customHeight="false" outlineLevel="0" collapsed="false">
      <c r="A19" s="16" t="s">
        <v>59</v>
      </c>
      <c r="B19" s="13" t="n">
        <v>134</v>
      </c>
      <c r="C19" s="13" t="n">
        <v>138</v>
      </c>
      <c r="D19" s="13"/>
      <c r="E19" s="14" t="n">
        <f aca="false">IFERROR(((INT(N(B19)/100)*60+MOD(N(B19),100))+(INT(N(C19)/100)*60+MOD(N(C19),100))+(INT(N(D19)/100)*60+MOD(N(D19),100)))/COUNT(B19:D19)/86400,"")</f>
        <v>0.00111111111111111</v>
      </c>
      <c r="F19" s="15" t="n">
        <f aca="false">IFERROR(N(F18)+N(E19),"")</f>
        <v>0.0112326388888889</v>
      </c>
    </row>
    <row r="20" customFormat="false" ht="15" hidden="false" customHeight="false" outlineLevel="0" collapsed="false">
      <c r="A20" s="3" t="s">
        <v>60</v>
      </c>
      <c r="B20" s="13" t="n">
        <v>20</v>
      </c>
      <c r="C20" s="13" t="n">
        <v>22</v>
      </c>
      <c r="D20" s="13"/>
      <c r="E20" s="14" t="n">
        <f aca="false">IFERROR(((INT(N(B20)/100)*60+MOD(N(B20),100))+(INT(N(C20)/100)*60+MOD(N(C20),100))+(INT(N(D20)/100)*60+MOD(N(D20),100)))/COUNT(B20:D20)/86400,"")</f>
        <v>0.000243055555555556</v>
      </c>
      <c r="F20" s="15" t="n">
        <f aca="false">IFERROR(N(F19)+N(E20),"")</f>
        <v>0.0114756944444444</v>
      </c>
    </row>
    <row r="21" customFormat="false" ht="15" hidden="false" customHeight="false" outlineLevel="0" collapsed="false">
      <c r="A21" s="16" t="s">
        <v>61</v>
      </c>
      <c r="B21" s="13" t="n">
        <v>212</v>
      </c>
      <c r="C21" s="13" t="n">
        <v>208</v>
      </c>
      <c r="D21" s="13"/>
      <c r="E21" s="14" t="n">
        <f aca="false">IFERROR(((INT(N(B21)/100)*60+MOD(N(B21),100))+(INT(N(C21)/100)*60+MOD(N(C21),100))+(INT(N(D21)/100)*60+MOD(N(D21),100)))/COUNT(B21:D21)/86400,"")</f>
        <v>0.00150462962962963</v>
      </c>
      <c r="F21" s="15" t="n">
        <f aca="false">IFERROR(N(F20)+N(E21),"")</f>
        <v>0.0129803240740741</v>
      </c>
    </row>
    <row r="22" customFormat="false" ht="15" hidden="false" customHeight="false" outlineLevel="0" collapsed="false">
      <c r="A22" s="3" t="s">
        <v>62</v>
      </c>
      <c r="B22" s="13" t="n">
        <v>22</v>
      </c>
      <c r="C22" s="13" t="n">
        <v>26</v>
      </c>
      <c r="D22" s="13"/>
      <c r="E22" s="14" t="n">
        <f aca="false">IFERROR(((INT(N(B22)/100)*60+MOD(N(B22),100))+(INT(N(C22)/100)*60+MOD(N(C22),100))+(INT(N(D22)/100)*60+MOD(N(D22),100)))/COUNT(B22:D22)/86400,"")</f>
        <v>0.000277777777777778</v>
      </c>
      <c r="F22" s="15" t="n">
        <f aca="false">IFERROR(N(F21)+N(E22),"")</f>
        <v>0.0132581018518519</v>
      </c>
    </row>
    <row r="23" customFormat="false" ht="15" hidden="false" customHeight="false" outlineLevel="0" collapsed="false">
      <c r="A23" s="16" t="s">
        <v>63</v>
      </c>
      <c r="B23" s="13" t="n">
        <v>115</v>
      </c>
      <c r="C23" s="13" t="n">
        <v>124</v>
      </c>
      <c r="D23" s="13"/>
      <c r="E23" s="14" t="n">
        <f aca="false">IFERROR(((INT(N(B23)/100)*60+MOD(N(B23),100))+(INT(N(C23)/100)*60+MOD(N(C23),100))+(INT(N(D23)/100)*60+MOD(N(D23),100)))/COUNT(B23:D23)/86400,"")</f>
        <v>0.000920138888888889</v>
      </c>
      <c r="F23" s="15" t="n">
        <f aca="false">IFERROR(N(F22)+N(E23),"")</f>
        <v>0.0141782407407407</v>
      </c>
    </row>
    <row r="24" customFormat="false" ht="15" hidden="false" customHeight="false" outlineLevel="0" collapsed="false">
      <c r="A24" s="3" t="s">
        <v>64</v>
      </c>
      <c r="B24" s="13" t="n">
        <v>24</v>
      </c>
      <c r="C24" s="13" t="n">
        <v>23</v>
      </c>
      <c r="D24" s="13"/>
      <c r="E24" s="14" t="n">
        <f aca="false">IFERROR(((INT(N(B24)/100)*60+MOD(N(B24),100))+(INT(N(C24)/100)*60+MOD(N(C24),100))+(INT(N(D24)/100)*60+MOD(N(D24),100)))/COUNT(B24:D24)/86400,"")</f>
        <v>0.000271990740740741</v>
      </c>
      <c r="F24" s="15" t="n">
        <f aca="false">IFERROR(N(F23)+N(E24),"")</f>
        <v>0.0144502314814815</v>
      </c>
    </row>
    <row r="25" customFormat="false" ht="15" hidden="false" customHeight="false" outlineLevel="0" collapsed="false">
      <c r="A25" s="16" t="s">
        <v>65</v>
      </c>
      <c r="B25" s="13" t="n">
        <v>157</v>
      </c>
      <c r="C25" s="13" t="n">
        <v>200</v>
      </c>
      <c r="D25" s="13"/>
      <c r="E25" s="14" t="n">
        <f aca="false">IFERROR(((INT(N(B25)/100)*60+MOD(N(B25),100))+(INT(N(C25)/100)*60+MOD(N(C25),100))+(INT(N(D25)/100)*60+MOD(N(D25),100)))/COUNT(B25:D25)/86400,"")</f>
        <v>0.00137152777777778</v>
      </c>
      <c r="F25" s="15" t="n">
        <f aca="false">IFERROR(N(F24)+N(E25),"")</f>
        <v>0.0158217592592593</v>
      </c>
    </row>
    <row r="26" customFormat="false" ht="15" hidden="false" customHeight="false" outlineLevel="0" collapsed="false">
      <c r="A26" s="3" t="s">
        <v>66</v>
      </c>
      <c r="B26" s="13" t="n">
        <v>26</v>
      </c>
      <c r="C26" s="13" t="n">
        <v>19</v>
      </c>
      <c r="D26" s="13"/>
      <c r="E26" s="14" t="n">
        <f aca="false">IFERROR(((INT(N(B26)/100)*60+MOD(N(B26),100))+(INT(N(C26)/100)*60+MOD(N(C26),100))+(INT(N(D26)/100)*60+MOD(N(D26),100)))/COUNT(B26:D26)/86400,"")</f>
        <v>0.000260416666666667</v>
      </c>
      <c r="F26" s="15" t="n">
        <f aca="false">IFERROR(N(F25)+N(E26),"")</f>
        <v>0.0160821759259259</v>
      </c>
    </row>
    <row r="27" customFormat="false" ht="15" hidden="false" customHeight="false" outlineLevel="0" collapsed="false">
      <c r="A27" s="16" t="s">
        <v>67</v>
      </c>
      <c r="B27" s="13" t="n">
        <v>108</v>
      </c>
      <c r="C27" s="13" t="n">
        <v>118</v>
      </c>
      <c r="D27" s="13"/>
      <c r="E27" s="14" t="n">
        <f aca="false">IFERROR(((INT(N(B27)/100)*60+MOD(N(B27),100))+(INT(N(C27)/100)*60+MOD(N(C27),100))+(INT(N(D27)/100)*60+MOD(N(D27),100)))/COUNT(B27:D27)/86400,"")</f>
        <v>0.000844907407407407</v>
      </c>
      <c r="F27" s="15" t="n">
        <f aca="false">IFERROR(N(F26)+N(E27),"")</f>
        <v>0.0169270833333333</v>
      </c>
    </row>
    <row r="28" customFormat="false" ht="15" hidden="false" customHeight="false" outlineLevel="0" collapsed="false">
      <c r="A28" s="3" t="s">
        <v>68</v>
      </c>
      <c r="B28" s="13" t="n">
        <v>31</v>
      </c>
      <c r="C28" s="13" t="n">
        <v>22</v>
      </c>
      <c r="D28" s="13"/>
      <c r="E28" s="14" t="n">
        <f aca="false">IFERROR(((INT(N(B28)/100)*60+MOD(N(B28),100))+(INT(N(C28)/100)*60+MOD(N(C28),100))+(INT(N(D28)/100)*60+MOD(N(D28),100)))/COUNT(B28:D28)/86400,"")</f>
        <v>0.000306712962962963</v>
      </c>
      <c r="F28" s="15" t="n">
        <f aca="false">IFERROR(N(F27)+N(E28),"")</f>
        <v>0.0172337962962963</v>
      </c>
    </row>
    <row r="29" customFormat="false" ht="15" hidden="false" customHeight="false" outlineLevel="0" collapsed="false">
      <c r="A29" s="16" t="s">
        <v>69</v>
      </c>
      <c r="B29" s="13" t="n">
        <v>125</v>
      </c>
      <c r="C29" s="13" t="n">
        <v>114</v>
      </c>
      <c r="D29" s="13"/>
      <c r="E29" s="14" t="n">
        <f aca="false">IFERROR(((INT(N(B29)/100)*60+MOD(N(B29),100))+(INT(N(C29)/100)*60+MOD(N(C29),100))+(INT(N(D29)/100)*60+MOD(N(D29),100)))/COUNT(B29:D29)/86400,"")</f>
        <v>0.000920138888888889</v>
      </c>
      <c r="F29" s="15" t="n">
        <f aca="false">IFERROR(N(F28)+N(E29),"")</f>
        <v>0.0181539351851852</v>
      </c>
    </row>
    <row r="30" customFormat="false" ht="15" hidden="false" customHeight="false" outlineLevel="0" collapsed="false">
      <c r="A30" s="3" t="s">
        <v>70</v>
      </c>
      <c r="B30" s="13" t="n">
        <v>26</v>
      </c>
      <c r="C30" s="13" t="n">
        <v>25</v>
      </c>
      <c r="D30" s="13"/>
      <c r="E30" s="14" t="n">
        <f aca="false">IFERROR(((INT(N(B30)/100)*60+MOD(N(B30),100))+(INT(N(C30)/100)*60+MOD(N(C30),100))+(INT(N(D30)/100)*60+MOD(N(D30),100)))/COUNT(B30:D30)/86400,"")</f>
        <v>0.000295138888888889</v>
      </c>
      <c r="F30" s="15" t="n">
        <f aca="false">IFERROR(N(F29)+N(E30),"")</f>
        <v>0.0184490740740741</v>
      </c>
    </row>
    <row r="31" customFormat="false" ht="15" hidden="false" customHeight="false" outlineLevel="0" collapsed="false">
      <c r="A31" s="16" t="s">
        <v>71</v>
      </c>
      <c r="B31" s="13" t="n">
        <v>145</v>
      </c>
      <c r="C31" s="13" t="n">
        <v>144</v>
      </c>
      <c r="D31" s="13"/>
      <c r="E31" s="14" t="n">
        <f aca="false">IFERROR(((INT(N(B31)/100)*60+MOD(N(B31),100))+(INT(N(C31)/100)*60+MOD(N(C31),100))+(INT(N(D31)/100)*60+MOD(N(D31),100)))/COUNT(B31:D31)/86400,"")</f>
        <v>0.00120949074074074</v>
      </c>
      <c r="F31" s="15" t="n">
        <f aca="false">IFERROR(N(F30)+N(E31),"")</f>
        <v>0.0196585648148148</v>
      </c>
    </row>
    <row r="32" customFormat="false" ht="15" hidden="false" customHeight="false" outlineLevel="0" collapsed="false">
      <c r="A32" s="3" t="s">
        <v>72</v>
      </c>
      <c r="B32" s="13" t="n">
        <v>26</v>
      </c>
      <c r="C32" s="13" t="n">
        <v>28</v>
      </c>
      <c r="D32" s="13"/>
      <c r="E32" s="14" t="n">
        <f aca="false">IFERROR(((INT(N(B32)/100)*60+MOD(N(B32),100))+(INT(N(C32)/100)*60+MOD(N(C32),100))+(INT(N(D32)/100)*60+MOD(N(D32),100)))/COUNT(B32:D32)/86400,"")</f>
        <v>0.0003125</v>
      </c>
      <c r="F32" s="15" t="n">
        <f aca="false">IFERROR(N(F31)+N(E32),"")</f>
        <v>0.0199710648148148</v>
      </c>
    </row>
    <row r="33" customFormat="false" ht="15" hidden="false" customHeight="false" outlineLevel="0" collapsed="false">
      <c r="A33" s="16" t="s">
        <v>73</v>
      </c>
      <c r="B33" s="13" t="n">
        <v>103</v>
      </c>
      <c r="C33" s="13" t="n">
        <v>105</v>
      </c>
      <c r="D33" s="13"/>
      <c r="E33" s="14" t="n">
        <f aca="false">IFERROR(((INT(N(B33)/100)*60+MOD(N(B33),100))+(INT(N(C33)/100)*60+MOD(N(C33),100))+(INT(N(D33)/100)*60+MOD(N(D33),100)))/COUNT(B33:D33)/86400,"")</f>
        <v>0.000740740740740741</v>
      </c>
      <c r="F33" s="15" t="n">
        <f aca="false">IFERROR(N(F32)+N(E33),"")</f>
        <v>0.0207118055555556</v>
      </c>
    </row>
    <row r="34" customFormat="false" ht="15" hidden="false" customHeight="false" outlineLevel="0" collapsed="false">
      <c r="A34" s="3" t="s">
        <v>74</v>
      </c>
      <c r="B34" s="13" t="n">
        <v>50</v>
      </c>
      <c r="C34" s="13" t="n">
        <v>25</v>
      </c>
      <c r="D34" s="13"/>
      <c r="E34" s="14" t="n">
        <f aca="false">IFERROR(((INT(N(B34)/100)*60+MOD(N(B34),100))+(INT(N(C34)/100)*60+MOD(N(C34),100))+(INT(N(D34)/100)*60+MOD(N(D34),100)))/COUNT(B34:D34)/86400,"")</f>
        <v>0.000434027777777778</v>
      </c>
      <c r="F34" s="15" t="n">
        <f aca="false">IFERROR(N(F33)+N(E34),"")</f>
        <v>0.0211458333333333</v>
      </c>
    </row>
    <row r="35" customFormat="false" ht="15" hidden="false" customHeight="false" outlineLevel="0" collapsed="false">
      <c r="A35" s="16" t="s">
        <v>75</v>
      </c>
      <c r="B35" s="13" t="n">
        <v>152</v>
      </c>
      <c r="C35" s="13" t="n">
        <v>125</v>
      </c>
      <c r="D35" s="13"/>
      <c r="E35" s="14" t="n">
        <f aca="false">IFERROR(((INT(N(B35)/100)*60+MOD(N(B35),100))+(INT(N(C35)/100)*60+MOD(N(C35),100))+(INT(N(D35)/100)*60+MOD(N(D35),100)))/COUNT(B35:D35)/86400,"")</f>
        <v>0.0011400462962963</v>
      </c>
      <c r="F35" s="15" t="n">
        <f aca="false">IFERROR(N(F34)+N(E35),"")</f>
        <v>0.0222858796296296</v>
      </c>
    </row>
    <row r="36" customFormat="false" ht="15" hidden="false" customHeight="false" outlineLevel="0" collapsed="false">
      <c r="A36" s="3" t="s">
        <v>76</v>
      </c>
      <c r="D36" s="13"/>
      <c r="E36" s="14" t="str">
        <f aca="false">IFERROR(((INT(N(B36)/100)*60+MOD(N(B36),100))+(INT(N(C36)/100)*60+MOD(N(C36),100))+(INT(N(D36)/100)*60+MOD(N(D36),100)))/COUNT(B36:D36)/86400,"")</f>
        <v/>
      </c>
      <c r="F36" s="15" t="n">
        <f aca="false">IFERROR(N(F35)+N(E36),"")</f>
        <v>0.0222858796296296</v>
      </c>
    </row>
    <row r="37" customFormat="false" ht="15" hidden="false" customHeight="false" outlineLevel="0" collapsed="false">
      <c r="A37" s="16" t="s">
        <v>77</v>
      </c>
      <c r="B37" s="13"/>
      <c r="C37" s="13"/>
      <c r="D37" s="13"/>
      <c r="E37" s="14" t="str">
        <f aca="false">IFERROR(((INT(N(B37)/100)*60+MOD(N(B37),100))+(INT(N(C37)/100)*60+MOD(N(C37),100))+(INT(N(D37)/100)*60+MOD(N(D37),100)))/COUNT(B37:D37)/86400,"")</f>
        <v/>
      </c>
      <c r="F37" s="15" t="n">
        <f aca="false">IFERROR(N(F36)+N(E37),"")</f>
        <v>0.0222858796296296</v>
      </c>
    </row>
    <row r="38" customFormat="false" ht="15" hidden="false" customHeight="false" outlineLevel="0" collapsed="false">
      <c r="A38" s="3" t="s">
        <v>78</v>
      </c>
      <c r="B38" s="13"/>
      <c r="C38" s="13"/>
      <c r="D38" s="13"/>
      <c r="E38" s="14" t="str">
        <f aca="false">IFERROR(((INT(N(B38)/100)*60+MOD(N(B38),100))+(INT(N(C38)/100)*60+MOD(N(C38),100))+(INT(N(D38)/100)*60+MOD(N(D38),100)))/COUNT(B38:D38)/86400,"")</f>
        <v/>
      </c>
      <c r="F38" s="15" t="n">
        <f aca="false">IFERROR(N(F37)+N(E38),"")</f>
        <v>0.0222858796296296</v>
      </c>
    </row>
    <row r="39" customFormat="false" ht="15" hidden="false" customHeight="false" outlineLevel="0" collapsed="false">
      <c r="A39" s="16" t="s">
        <v>79</v>
      </c>
      <c r="B39" s="13" t="n">
        <v>57</v>
      </c>
      <c r="C39" s="13"/>
      <c r="D39" s="13"/>
      <c r="E39" s="14" t="n">
        <f aca="false">IFERROR(((INT(N(B39)/100)*60+MOD(N(B39),100))+(INT(N(C39)/100)*60+MOD(N(C39),100))+(INT(N(D39)/100)*60+MOD(N(D39),100)))/COUNT(B39:D39)/86400,"")</f>
        <v>0.000659722222222222</v>
      </c>
      <c r="F39" s="15" t="n">
        <f aca="false">IFERROR(N(F38)+N(E39),"")</f>
        <v>0.0229456018518519</v>
      </c>
    </row>
    <row r="40" customFormat="false" ht="15" hidden="false" customHeight="false" outlineLevel="0" collapsed="false">
      <c r="A40" s="3" t="s">
        <v>80</v>
      </c>
      <c r="B40" s="13"/>
      <c r="C40" s="13"/>
      <c r="D40" s="13"/>
      <c r="E40" s="14" t="str">
        <f aca="false">IFERROR(((INT(N(B40)/100)*60+MOD(N(B40),100))+(INT(N(C40)/100)*60+MOD(N(C40),100))+(INT(N(D40)/100)*60+MOD(N(D40),100)))/COUNT(B40:D40)/86400,"")</f>
        <v/>
      </c>
      <c r="F40" s="15" t="n">
        <f aca="false">IFERROR(N(F39)+N(E40),"")</f>
        <v>0.0229456018518519</v>
      </c>
    </row>
    <row r="41" customFormat="false" ht="15" hidden="false" customHeight="false" outlineLevel="0" collapsed="false">
      <c r="A41" s="16" t="s">
        <v>81</v>
      </c>
      <c r="B41" s="13" t="n">
        <v>126</v>
      </c>
      <c r="C41" s="13"/>
      <c r="D41" s="13"/>
      <c r="E41" s="14" t="n">
        <f aca="false">IFERROR(((INT(N(B41)/100)*60+MOD(N(B41),100))+(INT(N(C41)/100)*60+MOD(N(C41),100))+(INT(N(D41)/100)*60+MOD(N(D41),100)))/COUNT(B41:D41)/86400,"")</f>
        <v>0.00099537037037037</v>
      </c>
      <c r="F41" s="15" t="n">
        <f aca="false">IFERROR(N(F40)+N(E41),"")</f>
        <v>0.0239409722222222</v>
      </c>
    </row>
    <row r="42" customFormat="false" ht="15" hidden="false" customHeight="false" outlineLevel="0" collapsed="false">
      <c r="A42" s="3" t="s">
        <v>82</v>
      </c>
      <c r="B42" s="13" t="n">
        <v>40</v>
      </c>
      <c r="C42" s="13"/>
      <c r="D42" s="13"/>
      <c r="E42" s="14" t="n">
        <f aca="false">IFERROR(((INT(N(B42)/100)*60+MOD(N(B42),100))+(INT(N(C42)/100)*60+MOD(N(C42),100))+(INT(N(D42)/100)*60+MOD(N(D42),100)))/COUNT(B42:D42)/86400,"")</f>
        <v>0.000462962962962963</v>
      </c>
      <c r="F42" s="15" t="n">
        <f aca="false">IFERROR(N(F41)+N(E42),"")</f>
        <v>0.0244039351851852</v>
      </c>
    </row>
    <row r="43" customFormat="false" ht="15" hidden="false" customHeight="false" outlineLevel="0" collapsed="false">
      <c r="A43" s="16" t="s">
        <v>83</v>
      </c>
      <c r="B43" s="13" t="n">
        <v>128</v>
      </c>
      <c r="C43" s="13"/>
      <c r="D43" s="13"/>
      <c r="E43" s="14" t="n">
        <f aca="false">IFERROR(((INT(N(B43)/100)*60+MOD(N(B43),100))+(INT(N(C43)/100)*60+MOD(N(C43),100))+(INT(N(D43)/100)*60+MOD(N(D43),100)))/COUNT(B43:D43)/86400,"")</f>
        <v>0.00101851851851852</v>
      </c>
      <c r="F43" s="15" t="n">
        <f aca="false">IFERROR(N(F42)+N(E43),"")</f>
        <v>0.0254224537037037</v>
      </c>
    </row>
    <row r="44" customFormat="false" ht="15" hidden="false" customHeight="false" outlineLevel="0" collapsed="false">
      <c r="A44" s="3" t="s">
        <v>84</v>
      </c>
      <c r="B44" s="13" t="n">
        <v>31</v>
      </c>
      <c r="C44" s="13"/>
      <c r="D44" s="13"/>
      <c r="E44" s="14" t="n">
        <f aca="false">IFERROR(((INT(N(B44)/100)*60+MOD(N(B44),100))+(INT(N(C44)/100)*60+MOD(N(C44),100))+(INT(N(D44)/100)*60+MOD(N(D44),100)))/COUNT(B44:D44)/86400,"")</f>
        <v>0.000358796296296296</v>
      </c>
      <c r="F44" s="15" t="n">
        <f aca="false">IFERROR(N(F43)+N(E44),"")</f>
        <v>0.02578125</v>
      </c>
    </row>
    <row r="45" customFormat="false" ht="15" hidden="false" customHeight="false" outlineLevel="0" collapsed="false">
      <c r="A45" s="16" t="s">
        <v>85</v>
      </c>
      <c r="B45" s="13" t="n">
        <v>240</v>
      </c>
      <c r="C45" s="13"/>
      <c r="D45" s="13"/>
      <c r="E45" s="14" t="n">
        <f aca="false">IFERROR(((INT(N(B45)/100)*60+MOD(N(B45),100))+(INT(N(C45)/100)*60+MOD(N(C45),100))+(INT(N(D45)/100)*60+MOD(N(D45),100)))/COUNT(B45:D45)/86400,"")</f>
        <v>0.00185185185185185</v>
      </c>
      <c r="F45" s="15" t="n">
        <f aca="false">IFERROR(N(F44)+N(E45),"")</f>
        <v>0.0276331018518519</v>
      </c>
    </row>
    <row r="46" customFormat="false" ht="15" hidden="false" customHeight="false" outlineLevel="0" collapsed="false">
      <c r="A46" s="3" t="s">
        <v>86</v>
      </c>
      <c r="B46" s="13" t="n">
        <v>26</v>
      </c>
      <c r="C46" s="13"/>
      <c r="D46" s="13"/>
      <c r="E46" s="14" t="n">
        <f aca="false">IFERROR(((INT(N(B46)/100)*60+MOD(N(B46),100))+(INT(N(C46)/100)*60+MOD(N(C46),100))+(INT(N(D46)/100)*60+MOD(N(D46),100)))/COUNT(B46:D46)/86400,"")</f>
        <v>0.000300925925925926</v>
      </c>
      <c r="F46" s="15" t="n">
        <f aca="false">IFERROR(N(F45)+N(E46),"")</f>
        <v>0.0279340277777778</v>
      </c>
    </row>
    <row r="47" customFormat="false" ht="15" hidden="false" customHeight="false" outlineLevel="0" collapsed="false">
      <c r="A47" s="16" t="s">
        <v>87</v>
      </c>
      <c r="B47" s="13" t="n">
        <v>123</v>
      </c>
      <c r="C47" s="13"/>
      <c r="D47" s="13"/>
      <c r="E47" s="14" t="n">
        <f aca="false">IFERROR(((INT(N(B47)/100)*60+MOD(N(B47),100))+(INT(N(C47)/100)*60+MOD(N(C47),100))+(INT(N(D47)/100)*60+MOD(N(D47),100)))/COUNT(B47:D47)/86400,"")</f>
        <v>0.000960648148148148</v>
      </c>
      <c r="F47" s="15" t="n">
        <f aca="false">IFERROR(N(F46)+N(E47),"")</f>
        <v>0.0288946759259259</v>
      </c>
    </row>
    <row r="48" customFormat="false" ht="15" hidden="false" customHeight="false" outlineLevel="0" collapsed="false">
      <c r="A48" s="3" t="s">
        <v>88</v>
      </c>
      <c r="B48" s="13"/>
      <c r="C48" s="13"/>
      <c r="D48" s="13"/>
      <c r="E48" s="14" t="str">
        <f aca="false">IFERROR(((INT(N(B48)/100)*60+MOD(N(B48),100))+(INT(N(C48)/100)*60+MOD(N(C48),100))+(INT(N(D48)/100)*60+MOD(N(D48),100)))/COUNT(B48:D48)/86400,"")</f>
        <v/>
      </c>
      <c r="F48" s="15" t="n">
        <f aca="false">IFERROR(N(F47)+N(E48),"")</f>
        <v>0.0288946759259259</v>
      </c>
    </row>
    <row r="49" customFormat="false" ht="15" hidden="false" customHeight="false" outlineLevel="0" collapsed="false">
      <c r="A49" s="16" t="s">
        <v>89</v>
      </c>
      <c r="B49" s="13" t="n">
        <v>150</v>
      </c>
      <c r="C49" s="13"/>
      <c r="D49" s="13"/>
      <c r="E49" s="14" t="n">
        <f aca="false">IFERROR(((INT(N(B49)/100)*60+MOD(N(B49),100))+(INT(N(C49)/100)*60+MOD(N(C49),100))+(INT(N(D49)/100)*60+MOD(N(D49),100)))/COUNT(B49:D49)/86400,"")</f>
        <v>0.00127314814814815</v>
      </c>
      <c r="F49" s="15" t="n">
        <f aca="false">IFERROR(N(F48)+N(E49),"")</f>
        <v>0.0301678240740741</v>
      </c>
    </row>
    <row r="50" customFormat="false" ht="15" hidden="false" customHeight="false" outlineLevel="0" collapsed="false">
      <c r="A50" s="3" t="s">
        <v>90</v>
      </c>
      <c r="B50" s="13" t="n">
        <v>29</v>
      </c>
      <c r="C50" s="13"/>
      <c r="D50" s="13"/>
      <c r="E50" s="14" t="n">
        <f aca="false">IFERROR(((INT(N(B50)/100)*60+MOD(N(B50),100))+(INT(N(C50)/100)*60+MOD(N(C50),100))+(INT(N(D50)/100)*60+MOD(N(D50),100)))/COUNT(B50:D50)/86400,"")</f>
        <v>0.000335648148148148</v>
      </c>
      <c r="F50" s="15" t="n">
        <f aca="false">IFERROR(N(F49)+N(E50),"")</f>
        <v>0.0305034722222222</v>
      </c>
    </row>
    <row r="51" customFormat="false" ht="15" hidden="false" customHeight="false" outlineLevel="0" collapsed="false">
      <c r="A51" s="16" t="s">
        <v>91</v>
      </c>
      <c r="B51" s="13" t="n">
        <v>226</v>
      </c>
      <c r="C51" s="13" t="n">
        <v>207</v>
      </c>
      <c r="D51" s="13"/>
      <c r="E51" s="14" t="n">
        <f aca="false">IFERROR(((INT(N(B51)/100)*60+MOD(N(B51),100))+(INT(N(C51)/100)*60+MOD(N(C51),100))+(INT(N(D51)/100)*60+MOD(N(D51),100)))/COUNT(B51:D51)/86400,"")</f>
        <v>0.00157986111111111</v>
      </c>
      <c r="F51" s="15" t="n">
        <f aca="false">IFERROR(N(F50)+N(E51),"")</f>
        <v>0.0320833333333333</v>
      </c>
    </row>
    <row r="52" customFormat="false" ht="15" hidden="false" customHeight="false" outlineLevel="0" collapsed="false">
      <c r="A52" s="3" t="s">
        <v>92</v>
      </c>
      <c r="B52" s="13" t="n">
        <v>26</v>
      </c>
      <c r="C52" s="13" t="n">
        <v>36</v>
      </c>
      <c r="D52" s="13"/>
      <c r="E52" s="14" t="n">
        <f aca="false">IFERROR(((INT(N(B52)/100)*60+MOD(N(B52),100))+(INT(N(C52)/100)*60+MOD(N(C52),100))+(INT(N(D52)/100)*60+MOD(N(D52),100)))/COUNT(B52:D52)/86400,"")</f>
        <v>0.000358796296296296</v>
      </c>
      <c r="F52" s="15" t="n">
        <f aca="false">IFERROR(N(F51)+N(E52),"")</f>
        <v>0.0324421296296296</v>
      </c>
    </row>
    <row r="53" customFormat="false" ht="15" hidden="false" customHeight="false" outlineLevel="0" collapsed="false">
      <c r="A53" s="16" t="s">
        <v>93</v>
      </c>
      <c r="B53" s="13" t="n">
        <v>159</v>
      </c>
      <c r="C53" s="13" t="n">
        <v>150</v>
      </c>
      <c r="D53" s="13"/>
      <c r="E53" s="14" t="n">
        <f aca="false">IFERROR(((INT(N(B53)/100)*60+MOD(N(B53),100))+(INT(N(C53)/100)*60+MOD(N(C53),100))+(INT(N(D53)/100)*60+MOD(N(D53),100)))/COUNT(B53:D53)/86400,"")</f>
        <v>0.00132523148148148</v>
      </c>
      <c r="F53" s="15" t="n">
        <f aca="false">IFERROR(N(F52)+N(E53),"")</f>
        <v>0.0337673611111111</v>
      </c>
    </row>
    <row r="54" customFormat="false" ht="15" hidden="false" customHeight="false" outlineLevel="0" collapsed="false">
      <c r="A54" s="3" t="s">
        <v>94</v>
      </c>
      <c r="B54" s="13" t="n">
        <v>34</v>
      </c>
      <c r="C54" s="13" t="n">
        <v>22</v>
      </c>
      <c r="D54" s="13"/>
      <c r="E54" s="14" t="n">
        <f aca="false">IFERROR(((INT(N(B54)/100)*60+MOD(N(B54),100))+(INT(N(C54)/100)*60+MOD(N(C54),100))+(INT(N(D54)/100)*60+MOD(N(D54),100)))/COUNT(B54:D54)/86400,"")</f>
        <v>0.000324074074074074</v>
      </c>
      <c r="F54" s="15" t="n">
        <f aca="false">IFERROR(N(F53)+N(E54),"")</f>
        <v>0.0340914351851852</v>
      </c>
    </row>
    <row r="55" customFormat="false" ht="15" hidden="false" customHeight="false" outlineLevel="0" collapsed="false">
      <c r="A55" s="16" t="s">
        <v>95</v>
      </c>
      <c r="B55" s="13" t="n">
        <v>238</v>
      </c>
      <c r="C55" s="13" t="n">
        <v>230</v>
      </c>
      <c r="D55" s="13"/>
      <c r="E55" s="14" t="n">
        <f aca="false">IFERROR(((INT(N(B55)/100)*60+MOD(N(B55),100))+(INT(N(C55)/100)*60+MOD(N(C55),100))+(INT(N(D55)/100)*60+MOD(N(D55),100)))/COUNT(B55:D55)/86400,"")</f>
        <v>0.00178240740740741</v>
      </c>
      <c r="F55" s="15" t="n">
        <f aca="false">IFERROR(N(F54)+N(E55),"")</f>
        <v>0.0358738425925926</v>
      </c>
    </row>
    <row r="56" customFormat="false" ht="15" hidden="false" customHeight="false" outlineLevel="0" collapsed="false">
      <c r="A56" s="3" t="s">
        <v>96</v>
      </c>
      <c r="B56" s="13" t="n">
        <v>31</v>
      </c>
      <c r="C56" s="13" t="n">
        <v>26</v>
      </c>
      <c r="D56" s="13"/>
      <c r="E56" s="14" t="n">
        <f aca="false">IFERROR(((INT(N(B56)/100)*60+MOD(N(B56),100))+(INT(N(C56)/100)*60+MOD(N(C56),100))+(INT(N(D56)/100)*60+MOD(N(D56),100)))/COUNT(B56:D56)/86400,"")</f>
        <v>0.000329861111111111</v>
      </c>
      <c r="F56" s="15" t="n">
        <f aca="false">IFERROR(N(F55)+N(E56),"")</f>
        <v>0.0362037037037037</v>
      </c>
    </row>
    <row r="57" customFormat="false" ht="15" hidden="false" customHeight="false" outlineLevel="0" collapsed="false">
      <c r="A57" s="16" t="s">
        <v>97</v>
      </c>
      <c r="B57" s="13" t="n">
        <v>228</v>
      </c>
      <c r="C57" s="13" t="n">
        <v>214</v>
      </c>
      <c r="D57" s="13"/>
      <c r="E57" s="14" t="n">
        <f aca="false">IFERROR(((INT(N(B57)/100)*60+MOD(N(B57),100))+(INT(N(C57)/100)*60+MOD(N(C57),100))+(INT(N(D57)/100)*60+MOD(N(D57),100)))/COUNT(B57:D57)/86400,"")</f>
        <v>0.00163194444444444</v>
      </c>
      <c r="F57" s="15" t="n">
        <f aca="false">IFERROR(N(F56)+N(E57),"")</f>
        <v>0.0378356481481482</v>
      </c>
    </row>
    <row r="58" customFormat="false" ht="15" hidden="false" customHeight="false" outlineLevel="0" collapsed="false">
      <c r="A58" s="3" t="s">
        <v>98</v>
      </c>
      <c r="B58" s="13" t="n">
        <v>42</v>
      </c>
      <c r="C58" s="13" t="n">
        <v>29</v>
      </c>
      <c r="D58" s="13"/>
      <c r="E58" s="14" t="n">
        <f aca="false">IFERROR(((INT(N(B58)/100)*60+MOD(N(B58),100))+(INT(N(C58)/100)*60+MOD(N(C58),100))+(INT(N(D58)/100)*60+MOD(N(D58),100)))/COUNT(B58:D58)/86400,"")</f>
        <v>0.00041087962962963</v>
      </c>
      <c r="F58" s="15" t="n">
        <f aca="false">IFERROR(N(F57)+N(E58),"")</f>
        <v>0.0382465277777778</v>
      </c>
    </row>
    <row r="59" customFormat="false" ht="15" hidden="false" customHeight="false" outlineLevel="0" collapsed="false">
      <c r="A59" s="16" t="s">
        <v>99</v>
      </c>
      <c r="B59" s="13" t="n">
        <v>337</v>
      </c>
      <c r="C59" s="13" t="n">
        <v>230</v>
      </c>
      <c r="D59" s="13"/>
      <c r="E59" s="14" t="n">
        <f aca="false">IFERROR(((INT(N(B59)/100)*60+MOD(N(B59),100))+(INT(N(C59)/100)*60+MOD(N(C59),100))+(INT(N(D59)/100)*60+MOD(N(D59),100)))/COUNT(B59:D59)/86400,"")</f>
        <v>0.00212384259259259</v>
      </c>
      <c r="F59" s="15" t="n">
        <f aca="false">IFERROR(N(F58)+N(E59),"")</f>
        <v>0.0403703703703704</v>
      </c>
    </row>
    <row r="60" customFormat="false" ht="15" hidden="false" customHeight="false" outlineLevel="0" collapsed="false">
      <c r="A60" s="3" t="s">
        <v>100</v>
      </c>
      <c r="B60" s="13"/>
      <c r="C60" s="13"/>
      <c r="D60" s="13"/>
      <c r="E60" s="14" t="str">
        <f aca="false">IFERROR(((INT(N(B60)/100)*60+MOD(N(B60),100))+(INT(N(C60)/100)*60+MOD(N(C60),100))+(INT(N(D60)/100)*60+MOD(N(D60),100)))/COUNT(B60:D60)/86400,"")</f>
        <v/>
      </c>
      <c r="F60" s="15" t="n">
        <f aca="false">IFERROR(N(F59)+N(E60),"")</f>
        <v>0.0403703703703704</v>
      </c>
    </row>
  </sheetData>
  <conditionalFormatting sqref="B9:B27 B28:C35 B37:D60 C8:C27 D8:D36">
    <cfRule type="expression" priority="2" aboveAverage="0" equalAverage="0" bottom="0" percent="0" rank="0" text="" dxfId="0">
      <formula>AND(B8&lt;&gt;"",MOD(B8,100)&gt;59)</formula>
    </cfRule>
  </conditionalFormatting>
  <dataValidations count="1">
    <dataValidation allowBlank="true" error="Type the stopwatch digits with no colon: 135 for 1 min 35 sec, 47 for 47 seconds. Max 1559." errorStyle="stop" errorTitle="Digits only" operator="between" showDropDown="false" showErrorMessage="true" showInputMessage="false" sqref="C8:D8 B9:D35 D36 B37:D60" type="whole">
      <formula1>0</formula1>
      <formula2>1559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8B00"/>
    <pageSetUpPr fitToPage="false"/>
  </sheetPr>
  <dimension ref="A1:I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C32" activeCellId="0" sqref="C32"/>
    </sheetView>
  </sheetViews>
  <sheetFormatPr defaultColWidth="8.71484375" defaultRowHeight="15" zeroHeight="false" outlineLevelRow="0" outlineLevelCol="0"/>
  <cols>
    <col collapsed="false" customWidth="true" hidden="false" outlineLevel="0" max="1" min="1" style="0" width="36"/>
    <col collapsed="false" customWidth="true" hidden="false" outlineLevel="0" max="4" min="2" style="0" width="10"/>
    <col collapsed="false" customWidth="true" hidden="false" outlineLevel="0" max="5" min="5" style="0" width="11"/>
    <col collapsed="false" customWidth="true" hidden="false" outlineLevel="0" max="6" min="6" style="0" width="13"/>
    <col collapsed="false" customWidth="true" hidden="false" outlineLevel="0" max="7" min="7" style="0" width="3"/>
    <col collapsed="false" customWidth="true" hidden="false" outlineLevel="0" max="8" min="8" style="0" width="21"/>
    <col collapsed="false" customWidth="true" hidden="false" outlineLevel="0" max="9" min="9" style="0" width="12"/>
  </cols>
  <sheetData>
    <row r="1" customFormat="false" ht="18" hidden="false" customHeight="true" outlineLevel="0" collapsed="false">
      <c r="A1" s="17" t="s">
        <v>101</v>
      </c>
    </row>
    <row r="2" customFormat="false" ht="15" hidden="false" customHeight="false" outlineLevel="0" collapsed="false">
      <c r="A2" s="7" t="s">
        <v>102</v>
      </c>
    </row>
    <row r="3" customFormat="false" ht="15" hidden="false" customHeight="false" outlineLevel="0" collapsed="false">
      <c r="A3" s="7" t="s">
        <v>35</v>
      </c>
      <c r="B3" s="8"/>
      <c r="C3" s="7" t="s">
        <v>36</v>
      </c>
      <c r="D3" s="8"/>
      <c r="E3" s="7" t="s">
        <v>37</v>
      </c>
      <c r="F3" s="8"/>
      <c r="H3" s="7" t="s">
        <v>22</v>
      </c>
      <c r="I3" s="3" t="n">
        <v>26</v>
      </c>
    </row>
    <row r="4" customFormat="false" ht="15" hidden="false" customHeight="false" outlineLevel="0" collapsed="false">
      <c r="H4" s="7" t="s">
        <v>38</v>
      </c>
      <c r="I4" s="3" t="n">
        <v>25</v>
      </c>
    </row>
    <row r="5" customFormat="false" ht="15" hidden="false" customHeight="false" outlineLevel="0" collapsed="false">
      <c r="H5" s="7" t="s">
        <v>39</v>
      </c>
      <c r="I5" s="3" t="n">
        <v>0</v>
      </c>
    </row>
    <row r="6" customFormat="false" ht="15" hidden="false" customHeight="false" outlineLevel="0" collapsed="false">
      <c r="B6" s="9" t="s">
        <v>40</v>
      </c>
      <c r="H6" s="7" t="s">
        <v>41</v>
      </c>
      <c r="I6" s="10" t="n">
        <f aca="false">IFERROR(SUM(E8:E58),"")</f>
        <v>0.0446238425925926</v>
      </c>
    </row>
    <row r="7" customFormat="false" ht="24" hidden="false" customHeight="true" outlineLevel="0" collapsed="false">
      <c r="A7" s="11" t="s">
        <v>42</v>
      </c>
      <c r="B7" s="12" t="s">
        <v>43</v>
      </c>
      <c r="C7" s="12" t="s">
        <v>44</v>
      </c>
      <c r="D7" s="12" t="s">
        <v>45</v>
      </c>
      <c r="E7" s="12" t="s">
        <v>46</v>
      </c>
      <c r="F7" s="12" t="s">
        <v>47</v>
      </c>
    </row>
    <row r="8" customFormat="false" ht="15" hidden="false" customHeight="false" outlineLevel="0" collapsed="false">
      <c r="A8" s="3" t="s">
        <v>103</v>
      </c>
      <c r="B8" s="13"/>
      <c r="C8" s="13"/>
      <c r="D8" s="13"/>
      <c r="E8" s="14" t="str">
        <f aca="false">IFERROR(((INT(N(B8)/100)*60+MOD(N(B8),100))+(INT(N(C8)/100)*60+MOD(N(C8),100))+(INT(N(D8)/100)*60+MOD(N(D8),100)))/COUNT(B8:D8)/86400,"")</f>
        <v/>
      </c>
      <c r="F8" s="15" t="str">
        <f aca="false">IFERROR(E8,"")</f>
        <v/>
      </c>
    </row>
    <row r="9" customFormat="false" ht="15" hidden="false" customHeight="false" outlineLevel="0" collapsed="false">
      <c r="A9" s="16" t="s">
        <v>104</v>
      </c>
      <c r="B9" s="13" t="n">
        <v>356</v>
      </c>
      <c r="C9" s="13" t="n">
        <v>355</v>
      </c>
      <c r="D9" s="13"/>
      <c r="E9" s="14" t="n">
        <f aca="false">IFERROR(((INT(N(B9)/100)*60+MOD(N(B9),100))+(INT(N(C9)/100)*60+MOD(N(C9),100))+(INT(N(D9)/100)*60+MOD(N(D9),100)))/COUNT(B9:D9)/86400,"")</f>
        <v>0.00272569444444444</v>
      </c>
      <c r="F9" s="15" t="n">
        <f aca="false">IFERROR(N(F8)+N(E9),"")</f>
        <v>0.00272569444444444</v>
      </c>
    </row>
    <row r="10" customFormat="false" ht="15" hidden="false" customHeight="false" outlineLevel="0" collapsed="false">
      <c r="A10" s="3" t="s">
        <v>105</v>
      </c>
      <c r="B10" s="13" t="n">
        <v>31</v>
      </c>
      <c r="C10" s="13" t="n">
        <v>43</v>
      </c>
      <c r="D10" s="13"/>
      <c r="E10" s="14" t="n">
        <f aca="false">IFERROR(((INT(N(B10)/100)*60+MOD(N(B10),100))+(INT(N(C10)/100)*60+MOD(N(C10),100))+(INT(N(D10)/100)*60+MOD(N(D10),100)))/COUNT(B10:D10)/86400,"")</f>
        <v>0.000428240740740741</v>
      </c>
      <c r="F10" s="15" t="n">
        <f aca="false">IFERROR(N(F9)+N(E10),"")</f>
        <v>0.00315393518518519</v>
      </c>
    </row>
    <row r="11" customFormat="false" ht="15" hidden="false" customHeight="false" outlineLevel="0" collapsed="false">
      <c r="A11" s="16" t="s">
        <v>106</v>
      </c>
      <c r="B11" s="13" t="n">
        <v>413</v>
      </c>
      <c r="C11" s="13" t="n">
        <v>317</v>
      </c>
      <c r="D11" s="13"/>
      <c r="E11" s="14" t="n">
        <f aca="false">IFERROR(((INT(N(B11)/100)*60+MOD(N(B11),100))+(INT(N(C11)/100)*60+MOD(N(C11),100))+(INT(N(D11)/100)*60+MOD(N(D11),100)))/COUNT(B11:D11)/86400,"")</f>
        <v>0.00260416666666667</v>
      </c>
      <c r="F11" s="15" t="n">
        <f aca="false">IFERROR(N(F10)+N(E11),"")</f>
        <v>0.00575810185185185</v>
      </c>
    </row>
    <row r="12" customFormat="false" ht="15" hidden="false" customHeight="false" outlineLevel="0" collapsed="false">
      <c r="A12" s="3" t="s">
        <v>107</v>
      </c>
      <c r="B12" s="13" t="n">
        <v>45</v>
      </c>
      <c r="C12" s="13" t="n">
        <v>25</v>
      </c>
      <c r="D12" s="13"/>
      <c r="E12" s="14" t="n">
        <f aca="false">IFERROR(((INT(N(B12)/100)*60+MOD(N(B12),100))+(INT(N(C12)/100)*60+MOD(N(C12),100))+(INT(N(D12)/100)*60+MOD(N(D12),100)))/COUNT(B12:D12)/86400,"")</f>
        <v>0.000405092592592593</v>
      </c>
      <c r="F12" s="15" t="n">
        <f aca="false">IFERROR(N(F11)+N(E12),"")</f>
        <v>0.00616319444444444</v>
      </c>
    </row>
    <row r="13" customFormat="false" ht="15" hidden="false" customHeight="false" outlineLevel="0" collapsed="false">
      <c r="A13" s="16" t="s">
        <v>108</v>
      </c>
      <c r="B13" s="13" t="n">
        <v>405</v>
      </c>
      <c r="C13" s="13" t="n">
        <v>326</v>
      </c>
      <c r="D13" s="13"/>
      <c r="E13" s="14" t="n">
        <f aca="false">IFERROR(((INT(N(B13)/100)*60+MOD(N(B13),100))+(INT(N(C13)/100)*60+MOD(N(C13),100))+(INT(N(D13)/100)*60+MOD(N(D13),100)))/COUNT(B13:D13)/86400,"")</f>
        <v>0.0026099537037037</v>
      </c>
      <c r="F13" s="15" t="n">
        <f aca="false">IFERROR(N(F12)+N(E13),"")</f>
        <v>0.00877314814814815</v>
      </c>
    </row>
    <row r="14" customFormat="false" ht="15" hidden="false" customHeight="false" outlineLevel="0" collapsed="false">
      <c r="A14" s="3" t="s">
        <v>109</v>
      </c>
      <c r="B14" s="13" t="n">
        <v>27</v>
      </c>
      <c r="C14" s="13" t="n">
        <v>30</v>
      </c>
      <c r="D14" s="13"/>
      <c r="E14" s="14" t="n">
        <f aca="false">IFERROR(((INT(N(B14)/100)*60+MOD(N(B14),100))+(INT(N(C14)/100)*60+MOD(N(C14),100))+(INT(N(D14)/100)*60+MOD(N(D14),100)))/COUNT(B14:D14)/86400,"")</f>
        <v>0.000329861111111111</v>
      </c>
      <c r="F14" s="15" t="n">
        <f aca="false">IFERROR(N(F13)+N(E14),"")</f>
        <v>0.00910300925925926</v>
      </c>
    </row>
    <row r="15" customFormat="false" ht="15" hidden="false" customHeight="false" outlineLevel="0" collapsed="false">
      <c r="A15" s="16" t="s">
        <v>110</v>
      </c>
      <c r="B15" s="13" t="n">
        <v>411</v>
      </c>
      <c r="C15" s="13" t="n">
        <v>338</v>
      </c>
      <c r="D15" s="13"/>
      <c r="E15" s="14" t="n">
        <f aca="false">IFERROR(((INT(N(B15)/100)*60+MOD(N(B15),100))+(INT(N(C15)/100)*60+MOD(N(C15),100))+(INT(N(D15)/100)*60+MOD(N(D15),100)))/COUNT(B15:D15)/86400,"")</f>
        <v>0.00271412037037037</v>
      </c>
      <c r="F15" s="15" t="n">
        <f aca="false">IFERROR(N(F14)+N(E15),"")</f>
        <v>0.0118171296296296</v>
      </c>
    </row>
    <row r="16" customFormat="false" ht="15" hidden="false" customHeight="false" outlineLevel="0" collapsed="false">
      <c r="A16" s="3" t="s">
        <v>111</v>
      </c>
      <c r="B16" s="13" t="n">
        <v>27</v>
      </c>
      <c r="C16" s="13" t="n">
        <v>20</v>
      </c>
      <c r="D16" s="13"/>
      <c r="E16" s="14" t="n">
        <f aca="false">IFERROR(((INT(N(B16)/100)*60+MOD(N(B16),100))+(INT(N(C16)/100)*60+MOD(N(C16),100))+(INT(N(D16)/100)*60+MOD(N(D16),100)))/COUNT(B16:D16)/86400,"")</f>
        <v>0.000271990740740741</v>
      </c>
      <c r="F16" s="15" t="n">
        <f aca="false">IFERROR(N(F15)+N(E16),"")</f>
        <v>0.0120891203703704</v>
      </c>
    </row>
    <row r="17" customFormat="false" ht="15" hidden="false" customHeight="false" outlineLevel="0" collapsed="false">
      <c r="A17" s="16" t="s">
        <v>112</v>
      </c>
      <c r="B17" s="13" t="n">
        <v>116</v>
      </c>
      <c r="C17" s="13" t="n">
        <v>118</v>
      </c>
      <c r="D17" s="13"/>
      <c r="E17" s="14" t="n">
        <f aca="false">IFERROR(((INT(N(B17)/100)*60+MOD(N(B17),100))+(INT(N(C17)/100)*60+MOD(N(C17),100))+(INT(N(D17)/100)*60+MOD(N(D17),100)))/COUNT(B17:D17)/86400,"")</f>
        <v>0.000891203703703704</v>
      </c>
      <c r="F17" s="15" t="n">
        <f aca="false">IFERROR(N(F16)+N(E17),"")</f>
        <v>0.0129803240740741</v>
      </c>
    </row>
    <row r="18" customFormat="false" ht="15" hidden="false" customHeight="false" outlineLevel="0" collapsed="false">
      <c r="A18" s="3" t="s">
        <v>113</v>
      </c>
      <c r="B18" s="13" t="n">
        <v>26</v>
      </c>
      <c r="C18" s="13" t="n">
        <v>25</v>
      </c>
      <c r="D18" s="13"/>
      <c r="E18" s="14" t="n">
        <f aca="false">IFERROR(((INT(N(B18)/100)*60+MOD(N(B18),100))+(INT(N(C18)/100)*60+MOD(N(C18),100))+(INT(N(D18)/100)*60+MOD(N(D18),100)))/COUNT(B18:D18)/86400,"")</f>
        <v>0.000295138888888889</v>
      </c>
      <c r="F18" s="15" t="n">
        <f aca="false">IFERROR(N(F17)+N(E18),"")</f>
        <v>0.013275462962963</v>
      </c>
    </row>
    <row r="19" customFormat="false" ht="15" hidden="false" customHeight="false" outlineLevel="0" collapsed="false">
      <c r="A19" s="16" t="s">
        <v>114</v>
      </c>
      <c r="B19" s="13" t="n">
        <v>102</v>
      </c>
      <c r="C19" s="13" t="n">
        <v>103</v>
      </c>
      <c r="D19" s="13"/>
      <c r="E19" s="14" t="n">
        <f aca="false">IFERROR(((INT(N(B19)/100)*60+MOD(N(B19),100))+(INT(N(C19)/100)*60+MOD(N(C19),100))+(INT(N(D19)/100)*60+MOD(N(D19),100)))/COUNT(B19:D19)/86400,"")</f>
        <v>0.00072337962962963</v>
      </c>
      <c r="F19" s="15" t="n">
        <f aca="false">IFERROR(N(F18)+N(E19),"")</f>
        <v>0.0139988425925926</v>
      </c>
    </row>
    <row r="20" customFormat="false" ht="15" hidden="false" customHeight="false" outlineLevel="0" collapsed="false">
      <c r="A20" s="3" t="s">
        <v>115</v>
      </c>
      <c r="B20" s="13" t="n">
        <v>21</v>
      </c>
      <c r="C20" s="13" t="n">
        <v>22</v>
      </c>
      <c r="D20" s="13"/>
      <c r="E20" s="14" t="n">
        <f aca="false">IFERROR(((INT(N(B20)/100)*60+MOD(N(B20),100))+(INT(N(C20)/100)*60+MOD(N(C20),100))+(INT(N(D20)/100)*60+MOD(N(D20),100)))/COUNT(B20:D20)/86400,"")</f>
        <v>0.000248842592592593</v>
      </c>
      <c r="F20" s="15" t="n">
        <f aca="false">IFERROR(N(F19)+N(E20),"")</f>
        <v>0.0142476851851852</v>
      </c>
    </row>
    <row r="21" customFormat="false" ht="15" hidden="false" customHeight="false" outlineLevel="0" collapsed="false">
      <c r="A21" s="16" t="s">
        <v>116</v>
      </c>
      <c r="B21" s="13" t="n">
        <v>104</v>
      </c>
      <c r="C21" s="13" t="n">
        <v>106</v>
      </c>
      <c r="D21" s="13"/>
      <c r="E21" s="14" t="n">
        <f aca="false">IFERROR(((INT(N(B21)/100)*60+MOD(N(B21),100))+(INT(N(C21)/100)*60+MOD(N(C21),100))+(INT(N(D21)/100)*60+MOD(N(D21),100)))/COUNT(B21:D21)/86400,"")</f>
        <v>0.000752314814814815</v>
      </c>
      <c r="F21" s="15" t="n">
        <f aca="false">IFERROR(N(F20)+N(E21),"")</f>
        <v>0.015</v>
      </c>
    </row>
    <row r="22" customFormat="false" ht="15" hidden="false" customHeight="false" outlineLevel="0" collapsed="false">
      <c r="A22" s="3" t="s">
        <v>117</v>
      </c>
      <c r="B22" s="13" t="n">
        <v>21</v>
      </c>
      <c r="C22" s="13" t="n">
        <v>36</v>
      </c>
      <c r="D22" s="13"/>
      <c r="E22" s="14" t="n">
        <f aca="false">IFERROR(((INT(N(B22)/100)*60+MOD(N(B22),100))+(INT(N(C22)/100)*60+MOD(N(C22),100))+(INT(N(D22)/100)*60+MOD(N(D22),100)))/COUNT(B22:D22)/86400,"")</f>
        <v>0.000329861111111111</v>
      </c>
      <c r="F22" s="15" t="n">
        <f aca="false">IFERROR(N(F21)+N(E22),"")</f>
        <v>0.0153298611111111</v>
      </c>
    </row>
    <row r="23" customFormat="false" ht="15" hidden="false" customHeight="false" outlineLevel="0" collapsed="false">
      <c r="A23" s="16" t="s">
        <v>118</v>
      </c>
      <c r="B23" s="13" t="n">
        <v>156</v>
      </c>
      <c r="C23" s="13" t="n">
        <v>229</v>
      </c>
      <c r="D23" s="13"/>
      <c r="E23" s="14" t="n">
        <f aca="false">IFERROR(((INT(N(B23)/100)*60+MOD(N(B23),100))+(INT(N(C23)/100)*60+MOD(N(C23),100))+(INT(N(D23)/100)*60+MOD(N(D23),100)))/COUNT(B23:D23)/86400,"")</f>
        <v>0.00153356481481481</v>
      </c>
      <c r="F23" s="15" t="n">
        <f aca="false">IFERROR(N(F22)+N(E23),"")</f>
        <v>0.0168634259259259</v>
      </c>
    </row>
    <row r="24" customFormat="false" ht="15" hidden="false" customHeight="false" outlineLevel="0" collapsed="false">
      <c r="A24" s="3" t="s">
        <v>119</v>
      </c>
      <c r="B24" s="13" t="n">
        <v>31</v>
      </c>
      <c r="C24" s="13" t="n">
        <v>32</v>
      </c>
      <c r="D24" s="13"/>
      <c r="E24" s="14" t="n">
        <f aca="false">IFERROR(((INT(N(B24)/100)*60+MOD(N(B24),100))+(INT(N(C24)/100)*60+MOD(N(C24),100))+(INT(N(D24)/100)*60+MOD(N(D24),100)))/COUNT(B24:D24)/86400,"")</f>
        <v>0.000364583333333333</v>
      </c>
      <c r="F24" s="15" t="n">
        <f aca="false">IFERROR(N(F23)+N(E24),"")</f>
        <v>0.0172280092592593</v>
      </c>
    </row>
    <row r="25" customFormat="false" ht="15" hidden="false" customHeight="false" outlineLevel="0" collapsed="false">
      <c r="A25" s="16" t="s">
        <v>120</v>
      </c>
      <c r="B25" s="13" t="n">
        <v>232</v>
      </c>
      <c r="C25" s="13" t="n">
        <v>202</v>
      </c>
      <c r="D25" s="13"/>
      <c r="E25" s="14" t="n">
        <f aca="false">IFERROR(((INT(N(B25)/100)*60+MOD(N(B25),100))+(INT(N(C25)/100)*60+MOD(N(C25),100))+(INT(N(D25)/100)*60+MOD(N(D25),100)))/COUNT(B25:D25)/86400,"")</f>
        <v>0.00158564814814815</v>
      </c>
      <c r="F25" s="15" t="n">
        <f aca="false">IFERROR(N(F24)+N(E25),"")</f>
        <v>0.0188136574074074</v>
      </c>
    </row>
    <row r="26" customFormat="false" ht="15" hidden="false" customHeight="false" outlineLevel="0" collapsed="false">
      <c r="A26" s="3" t="s">
        <v>121</v>
      </c>
      <c r="B26" s="13" t="n">
        <v>29</v>
      </c>
      <c r="C26" s="13" t="n">
        <v>27</v>
      </c>
      <c r="D26" s="13"/>
      <c r="E26" s="14" t="n">
        <f aca="false">IFERROR(((INT(N(B26)/100)*60+MOD(N(B26),100))+(INT(N(C26)/100)*60+MOD(N(C26),100))+(INT(N(D26)/100)*60+MOD(N(D26),100)))/COUNT(B26:D26)/86400,"")</f>
        <v>0.000324074074074074</v>
      </c>
      <c r="F26" s="15" t="n">
        <f aca="false">IFERROR(N(F25)+N(E26),"")</f>
        <v>0.0191377314814815</v>
      </c>
    </row>
    <row r="27" customFormat="false" ht="15" hidden="false" customHeight="false" outlineLevel="0" collapsed="false">
      <c r="A27" s="16" t="s">
        <v>122</v>
      </c>
      <c r="B27" s="13" t="n">
        <v>115</v>
      </c>
      <c r="C27" s="13" t="n">
        <v>109</v>
      </c>
      <c r="D27" s="13"/>
      <c r="E27" s="14" t="n">
        <f aca="false">IFERROR(((INT(N(B27)/100)*60+MOD(N(B27),100))+(INT(N(C27)/100)*60+MOD(N(C27),100))+(INT(N(D27)/100)*60+MOD(N(D27),100)))/COUNT(B27:D27)/86400,"")</f>
        <v>0.000833333333333333</v>
      </c>
      <c r="F27" s="15" t="n">
        <f aca="false">IFERROR(N(F26)+N(E27),"")</f>
        <v>0.0199710648148148</v>
      </c>
    </row>
    <row r="28" customFormat="false" ht="15" hidden="false" customHeight="false" outlineLevel="0" collapsed="false">
      <c r="A28" s="3" t="s">
        <v>123</v>
      </c>
      <c r="B28" s="13" t="n">
        <v>32</v>
      </c>
      <c r="C28" s="13" t="n">
        <v>18</v>
      </c>
      <c r="D28" s="13"/>
      <c r="E28" s="14" t="n">
        <f aca="false">IFERROR(((INT(N(B28)/100)*60+MOD(N(B28),100))+(INT(N(C28)/100)*60+MOD(N(C28),100))+(INT(N(D28)/100)*60+MOD(N(D28),100)))/COUNT(B28:D28)/86400,"")</f>
        <v>0.000289351851851852</v>
      </c>
      <c r="F28" s="15" t="n">
        <f aca="false">IFERROR(N(F27)+N(E28),"")</f>
        <v>0.0202604166666667</v>
      </c>
    </row>
    <row r="29" customFormat="false" ht="15" hidden="false" customHeight="false" outlineLevel="0" collapsed="false">
      <c r="A29" s="16" t="s">
        <v>124</v>
      </c>
      <c r="B29" s="13" t="n">
        <v>55</v>
      </c>
      <c r="C29" s="13" t="n">
        <v>59</v>
      </c>
      <c r="D29" s="13"/>
      <c r="E29" s="14" t="n">
        <f aca="false">IFERROR(((INT(N(B29)/100)*60+MOD(N(B29),100))+(INT(N(C29)/100)*60+MOD(N(C29),100))+(INT(N(D29)/100)*60+MOD(N(D29),100)))/COUNT(B29:D29)/86400,"")</f>
        <v>0.000659722222222222</v>
      </c>
      <c r="F29" s="15" t="n">
        <f aca="false">IFERROR(N(F28)+N(E29),"")</f>
        <v>0.0209201388888889</v>
      </c>
    </row>
    <row r="30" customFormat="false" ht="15" hidden="false" customHeight="false" outlineLevel="0" collapsed="false">
      <c r="A30" s="3" t="s">
        <v>125</v>
      </c>
      <c r="B30" s="13" t="n">
        <v>35</v>
      </c>
      <c r="C30" s="13" t="n">
        <v>23</v>
      </c>
      <c r="D30" s="13"/>
      <c r="E30" s="14" t="n">
        <f aca="false">IFERROR(((INT(N(B30)/100)*60+MOD(N(B30),100))+(INT(N(C30)/100)*60+MOD(N(C30),100))+(INT(N(D30)/100)*60+MOD(N(D30),100)))/COUNT(B30:D30)/86400,"")</f>
        <v>0.000335648148148148</v>
      </c>
      <c r="F30" s="15" t="n">
        <f aca="false">IFERROR(N(F29)+N(E30),"")</f>
        <v>0.021255787037037</v>
      </c>
    </row>
    <row r="31" customFormat="false" ht="15" hidden="false" customHeight="false" outlineLevel="0" collapsed="false">
      <c r="A31" s="16" t="s">
        <v>75</v>
      </c>
      <c r="B31" s="13" t="n">
        <v>104</v>
      </c>
      <c r="C31" s="13" t="n">
        <v>116</v>
      </c>
      <c r="D31" s="13"/>
      <c r="E31" s="14" t="n">
        <f aca="false">IFERROR(((INT(N(B31)/100)*60+MOD(N(B31),100))+(INT(N(C31)/100)*60+MOD(N(C31),100))+(INT(N(D31)/100)*60+MOD(N(D31),100)))/COUNT(B31:D31)/86400,"")</f>
        <v>0.000810185185185185</v>
      </c>
      <c r="F31" s="15" t="n">
        <f aca="false">IFERROR(N(F30)+N(E31),"")</f>
        <v>0.0220659722222222</v>
      </c>
    </row>
    <row r="32" customFormat="false" ht="15" hidden="false" customHeight="false" outlineLevel="0" collapsed="false">
      <c r="A32" s="3" t="s">
        <v>76</v>
      </c>
      <c r="B32" s="13" t="n">
        <v>33</v>
      </c>
      <c r="C32" s="13"/>
      <c r="D32" s="13"/>
      <c r="E32" s="14" t="n">
        <f aca="false">IFERROR(((INT(N(B32)/100)*60+MOD(N(B32),100))+(INT(N(C32)/100)*60+MOD(N(C32),100))+(INT(N(D32)/100)*60+MOD(N(D32),100)))/COUNT(B32:D32)/86400,"")</f>
        <v>0.000381944444444444</v>
      </c>
      <c r="F32" s="15" t="n">
        <f aca="false">IFERROR(N(F31)+N(E32),"")</f>
        <v>0.0224479166666667</v>
      </c>
    </row>
    <row r="33" customFormat="false" ht="15" hidden="false" customHeight="false" outlineLevel="0" collapsed="false">
      <c r="A33" s="16" t="s">
        <v>126</v>
      </c>
      <c r="B33" s="13" t="n">
        <v>50</v>
      </c>
      <c r="C33" s="13"/>
      <c r="D33" s="13"/>
      <c r="E33" s="14" t="n">
        <f aca="false">IFERROR(((INT(N(B33)/100)*60+MOD(N(B33),100))+(INT(N(C33)/100)*60+MOD(N(C33),100))+(INT(N(D33)/100)*60+MOD(N(D33),100)))/COUNT(B33:D33)/86400,"")</f>
        <v>0.000578703703703704</v>
      </c>
      <c r="F33" s="15" t="n">
        <f aca="false">IFERROR(N(F32)+N(E33),"")</f>
        <v>0.0230266203703704</v>
      </c>
    </row>
    <row r="34" customFormat="false" ht="15" hidden="false" customHeight="false" outlineLevel="0" collapsed="false">
      <c r="A34" s="3" t="s">
        <v>127</v>
      </c>
      <c r="B34" s="13" t="n">
        <v>38</v>
      </c>
      <c r="C34" s="13"/>
      <c r="D34" s="13"/>
      <c r="E34" s="14" t="n">
        <f aca="false">IFERROR(((INT(N(B34)/100)*60+MOD(N(B34),100))+(INT(N(C34)/100)*60+MOD(N(C34),100))+(INT(N(D34)/100)*60+MOD(N(D34),100)))/COUNT(B34:D34)/86400,"")</f>
        <v>0.000439814814814815</v>
      </c>
      <c r="F34" s="15" t="n">
        <f aca="false">IFERROR(N(F33)+N(E34),"")</f>
        <v>0.0234664351851852</v>
      </c>
    </row>
    <row r="35" customFormat="false" ht="15" hidden="false" customHeight="false" outlineLevel="0" collapsed="false">
      <c r="A35" s="16" t="s">
        <v>128</v>
      </c>
      <c r="B35" s="13" t="n">
        <v>106</v>
      </c>
      <c r="C35" s="13"/>
      <c r="D35" s="13"/>
      <c r="E35" s="14" t="n">
        <f aca="false">IFERROR(((INT(N(B35)/100)*60+MOD(N(B35),100))+(INT(N(C35)/100)*60+MOD(N(C35),100))+(INT(N(D35)/100)*60+MOD(N(D35),100)))/COUNT(B35:D35)/86400,"")</f>
        <v>0.000763888888888889</v>
      </c>
      <c r="F35" s="15" t="n">
        <f aca="false">IFERROR(N(F34)+N(E35),"")</f>
        <v>0.0242303240740741</v>
      </c>
    </row>
    <row r="36" customFormat="false" ht="15" hidden="false" customHeight="false" outlineLevel="0" collapsed="false">
      <c r="A36" s="3" t="s">
        <v>129</v>
      </c>
      <c r="B36" s="13" t="n">
        <v>33</v>
      </c>
      <c r="C36" s="13"/>
      <c r="D36" s="13"/>
      <c r="E36" s="14" t="n">
        <f aca="false">IFERROR(((INT(N(B36)/100)*60+MOD(N(B36),100))+(INT(N(C36)/100)*60+MOD(N(C36),100))+(INT(N(D36)/100)*60+MOD(N(D36),100)))/COUNT(B36:D36)/86400,"")</f>
        <v>0.000381944444444444</v>
      </c>
      <c r="F36" s="15" t="n">
        <f aca="false">IFERROR(N(F35)+N(E36),"")</f>
        <v>0.0246122685185185</v>
      </c>
    </row>
    <row r="37" customFormat="false" ht="15" hidden="false" customHeight="false" outlineLevel="0" collapsed="false">
      <c r="A37" s="16" t="s">
        <v>130</v>
      </c>
      <c r="B37" s="13" t="n">
        <v>103</v>
      </c>
      <c r="C37" s="13"/>
      <c r="D37" s="13"/>
      <c r="E37" s="14" t="n">
        <f aca="false">IFERROR(((INT(N(B37)/100)*60+MOD(N(B37),100))+(INT(N(C37)/100)*60+MOD(N(C37),100))+(INT(N(D37)/100)*60+MOD(N(D37),100)))/COUNT(B37:D37)/86400,"")</f>
        <v>0.000729166666666667</v>
      </c>
      <c r="F37" s="15" t="n">
        <f aca="false">IFERROR(N(F36)+N(E37),"")</f>
        <v>0.0253414351851852</v>
      </c>
    </row>
    <row r="38" customFormat="false" ht="15" hidden="false" customHeight="false" outlineLevel="0" collapsed="false">
      <c r="A38" s="3" t="s">
        <v>131</v>
      </c>
      <c r="B38" s="13" t="n">
        <v>30</v>
      </c>
      <c r="C38" s="13"/>
      <c r="D38" s="13"/>
      <c r="E38" s="14" t="n">
        <f aca="false">IFERROR(((INT(N(B38)/100)*60+MOD(N(B38),100))+(INT(N(C38)/100)*60+MOD(N(C38),100))+(INT(N(D38)/100)*60+MOD(N(D38),100)))/COUNT(B38:D38)/86400,"")</f>
        <v>0.000347222222222222</v>
      </c>
      <c r="F38" s="15" t="n">
        <f aca="false">IFERROR(N(F37)+N(E38),"")</f>
        <v>0.0256886574074074</v>
      </c>
    </row>
    <row r="39" customFormat="false" ht="15" hidden="false" customHeight="false" outlineLevel="0" collapsed="false">
      <c r="A39" s="16" t="s">
        <v>132</v>
      </c>
      <c r="B39" s="13" t="n">
        <v>50</v>
      </c>
      <c r="C39" s="13"/>
      <c r="D39" s="13"/>
      <c r="E39" s="14" t="n">
        <f aca="false">IFERROR(((INT(N(B39)/100)*60+MOD(N(B39),100))+(INT(N(C39)/100)*60+MOD(N(C39),100))+(INT(N(D39)/100)*60+MOD(N(D39),100)))/COUNT(B39:D39)/86400,"")</f>
        <v>0.000578703703703704</v>
      </c>
      <c r="F39" s="15" t="n">
        <f aca="false">IFERROR(N(F38)+N(E39),"")</f>
        <v>0.0262673611111111</v>
      </c>
    </row>
    <row r="40" customFormat="false" ht="15" hidden="false" customHeight="false" outlineLevel="0" collapsed="false">
      <c r="A40" s="3" t="s">
        <v>133</v>
      </c>
      <c r="B40" s="13" t="n">
        <v>52</v>
      </c>
      <c r="C40" s="13"/>
      <c r="D40" s="13"/>
      <c r="E40" s="14" t="n">
        <f aca="false">IFERROR(((INT(N(B40)/100)*60+MOD(N(B40),100))+(INT(N(C40)/100)*60+MOD(N(C40),100))+(INT(N(D40)/100)*60+MOD(N(D40),100)))/COUNT(B40:D40)/86400,"")</f>
        <v>0.000601851851851852</v>
      </c>
      <c r="F40" s="15" t="n">
        <f aca="false">IFERROR(N(F39)+N(E40),"")</f>
        <v>0.026869212962963</v>
      </c>
    </row>
    <row r="41" customFormat="false" ht="15" hidden="false" customHeight="false" outlineLevel="0" collapsed="false">
      <c r="A41" s="16" t="s">
        <v>134</v>
      </c>
      <c r="B41" s="13" t="n">
        <v>110</v>
      </c>
      <c r="C41" s="13"/>
      <c r="D41" s="13"/>
      <c r="E41" s="14" t="n">
        <f aca="false">IFERROR(((INT(N(B41)/100)*60+MOD(N(B41),100))+(INT(N(C41)/100)*60+MOD(N(C41),100))+(INT(N(D41)/100)*60+MOD(N(D41),100)))/COUNT(B41:D41)/86400,"")</f>
        <v>0.000810185185185185</v>
      </c>
      <c r="F41" s="15" t="n">
        <f aca="false">IFERROR(N(F40)+N(E41),"")</f>
        <v>0.0276793981481481</v>
      </c>
    </row>
    <row r="42" customFormat="false" ht="15" hidden="false" customHeight="false" outlineLevel="0" collapsed="false">
      <c r="A42" s="3" t="s">
        <v>135</v>
      </c>
      <c r="B42" s="13" t="n">
        <v>45</v>
      </c>
      <c r="C42" s="13"/>
      <c r="D42" s="13"/>
      <c r="E42" s="14" t="n">
        <f aca="false">IFERROR(((INT(N(B42)/100)*60+MOD(N(B42),100))+(INT(N(C42)/100)*60+MOD(N(C42),100))+(INT(N(D42)/100)*60+MOD(N(D42),100)))/COUNT(B42:D42)/86400,"")</f>
        <v>0.000520833333333333</v>
      </c>
      <c r="F42" s="15" t="n">
        <f aca="false">IFERROR(N(F41)+N(E42),"")</f>
        <v>0.0282002314814815</v>
      </c>
    </row>
    <row r="43" customFormat="false" ht="15" hidden="false" customHeight="false" outlineLevel="0" collapsed="false">
      <c r="A43" s="16" t="s">
        <v>136</v>
      </c>
      <c r="B43" s="13" t="n">
        <v>200</v>
      </c>
      <c r="C43" s="13"/>
      <c r="D43" s="13"/>
      <c r="E43" s="14" t="n">
        <f aca="false">IFERROR(((INT(N(B43)/100)*60+MOD(N(B43),100))+(INT(N(C43)/100)*60+MOD(N(C43),100))+(INT(N(D43)/100)*60+MOD(N(D43),100)))/COUNT(B43:D43)/86400,"")</f>
        <v>0.00138888888888889</v>
      </c>
      <c r="F43" s="15" t="n">
        <f aca="false">IFERROR(N(F42)+N(E43),"")</f>
        <v>0.0295891203703704</v>
      </c>
    </row>
    <row r="44" customFormat="false" ht="15" hidden="false" customHeight="false" outlineLevel="0" collapsed="false">
      <c r="A44" s="3" t="s">
        <v>137</v>
      </c>
      <c r="B44" s="13" t="n">
        <v>110</v>
      </c>
      <c r="C44" s="13"/>
      <c r="D44" s="13"/>
      <c r="E44" s="14" t="n">
        <f aca="false">IFERROR(((INT(N(B44)/100)*60+MOD(N(B44),100))+(INT(N(C44)/100)*60+MOD(N(C44),100))+(INT(N(D44)/100)*60+MOD(N(D44),100)))/COUNT(B44:D44)/86400,"")</f>
        <v>0.000810185185185185</v>
      </c>
      <c r="F44" s="15" t="n">
        <f aca="false">IFERROR(N(F43)+N(E44),"")</f>
        <v>0.0303993055555556</v>
      </c>
    </row>
    <row r="45" customFormat="false" ht="15" hidden="false" customHeight="false" outlineLevel="0" collapsed="false">
      <c r="A45" s="16" t="s">
        <v>138</v>
      </c>
      <c r="B45" s="13" t="n">
        <v>114</v>
      </c>
      <c r="C45" s="13"/>
      <c r="D45" s="13"/>
      <c r="E45" s="14" t="n">
        <f aca="false">IFERROR(((INT(N(B45)/100)*60+MOD(N(B45),100))+(INT(N(C45)/100)*60+MOD(N(C45),100))+(INT(N(D45)/100)*60+MOD(N(D45),100)))/COUNT(B45:D45)/86400,"")</f>
        <v>0.000856481481481482</v>
      </c>
      <c r="F45" s="15" t="n">
        <f aca="false">IFERROR(N(F44)+N(E45),"")</f>
        <v>0.031255787037037</v>
      </c>
    </row>
    <row r="46" customFormat="false" ht="15" hidden="false" customHeight="false" outlineLevel="0" collapsed="false">
      <c r="A46" s="3" t="s">
        <v>139</v>
      </c>
      <c r="B46" s="13" t="n">
        <v>28</v>
      </c>
      <c r="C46" s="13"/>
      <c r="D46" s="13"/>
      <c r="E46" s="14" t="n">
        <f aca="false">IFERROR(((INT(N(B46)/100)*60+MOD(N(B46),100))+(INT(N(C46)/100)*60+MOD(N(C46),100))+(INT(N(D46)/100)*60+MOD(N(D46),100)))/COUNT(B46:D46)/86400,"")</f>
        <v>0.000324074074074074</v>
      </c>
      <c r="F46" s="15" t="n">
        <f aca="false">IFERROR(N(F45)+N(E46),"")</f>
        <v>0.0315798611111111</v>
      </c>
    </row>
    <row r="47" customFormat="false" ht="15" hidden="false" customHeight="false" outlineLevel="0" collapsed="false">
      <c r="A47" s="16" t="s">
        <v>140</v>
      </c>
      <c r="B47" s="13" t="n">
        <v>225</v>
      </c>
      <c r="C47" s="13" t="n">
        <v>217</v>
      </c>
      <c r="D47" s="13"/>
      <c r="E47" s="14" t="n">
        <f aca="false">IFERROR(((INT(N(B47)/100)*60+MOD(N(B47),100))+(INT(N(C47)/100)*60+MOD(N(C47),100))+(INT(N(D47)/100)*60+MOD(N(D47),100)))/COUNT(B47:D47)/86400,"")</f>
        <v>0.00163194444444444</v>
      </c>
      <c r="F47" s="15" t="n">
        <f aca="false">IFERROR(N(F46)+N(E47),"")</f>
        <v>0.0332118055555556</v>
      </c>
    </row>
    <row r="48" customFormat="false" ht="15" hidden="false" customHeight="false" outlineLevel="0" collapsed="false">
      <c r="A48" s="3" t="s">
        <v>141</v>
      </c>
      <c r="B48" s="13" t="n">
        <v>32</v>
      </c>
      <c r="C48" s="13" t="n">
        <v>24</v>
      </c>
      <c r="D48" s="13"/>
      <c r="E48" s="14" t="n">
        <f aca="false">IFERROR(((INT(N(B48)/100)*60+MOD(N(B48),100))+(INT(N(C48)/100)*60+MOD(N(C48),100))+(INT(N(D48)/100)*60+MOD(N(D48),100)))/COUNT(B48:D48)/86400,"")</f>
        <v>0.000324074074074074</v>
      </c>
      <c r="F48" s="15" t="n">
        <f aca="false">IFERROR(N(F47)+N(E48),"")</f>
        <v>0.0335358796296296</v>
      </c>
    </row>
    <row r="49" customFormat="false" ht="15" hidden="false" customHeight="false" outlineLevel="0" collapsed="false">
      <c r="A49" s="16" t="s">
        <v>142</v>
      </c>
      <c r="B49" s="13" t="n">
        <v>630</v>
      </c>
      <c r="C49" s="13" t="n">
        <v>423</v>
      </c>
      <c r="D49" s="13"/>
      <c r="E49" s="14" t="n">
        <f aca="false">IFERROR(((INT(N(B49)/100)*60+MOD(N(B49),100))+(INT(N(C49)/100)*60+MOD(N(C49),100))+(INT(N(D49)/100)*60+MOD(N(D49),100)))/COUNT(B49:D49)/86400,"")</f>
        <v>0.00377893518518519</v>
      </c>
      <c r="F49" s="15" t="n">
        <f aca="false">IFERROR(N(F48)+N(E49),"")</f>
        <v>0.0373148148148148</v>
      </c>
    </row>
    <row r="50" customFormat="false" ht="15" hidden="false" customHeight="false" outlineLevel="0" collapsed="false">
      <c r="A50" s="3" t="s">
        <v>143</v>
      </c>
      <c r="B50" s="13" t="n">
        <v>121</v>
      </c>
      <c r="C50" s="13" t="n">
        <v>23</v>
      </c>
      <c r="D50" s="13"/>
      <c r="E50" s="14" t="n">
        <f aca="false">IFERROR(((INT(N(B50)/100)*60+MOD(N(B50),100))+(INT(N(C50)/100)*60+MOD(N(C50),100))+(INT(N(D50)/100)*60+MOD(N(D50),100)))/COUNT(B50:D50)/86400,"")</f>
        <v>0.000601851851851852</v>
      </c>
      <c r="F50" s="15" t="n">
        <f aca="false">IFERROR(N(F49)+N(E50),"")</f>
        <v>0.0379166666666667</v>
      </c>
    </row>
    <row r="51" customFormat="false" ht="15" hidden="false" customHeight="false" outlineLevel="0" collapsed="false">
      <c r="A51" s="16" t="s">
        <v>144</v>
      </c>
      <c r="B51" s="13" t="n">
        <v>151</v>
      </c>
      <c r="C51" s="13" t="n">
        <v>127</v>
      </c>
      <c r="D51" s="13"/>
      <c r="E51" s="14" t="n">
        <f aca="false">IFERROR(((INT(N(B51)/100)*60+MOD(N(B51),100))+(INT(N(C51)/100)*60+MOD(N(C51),100))+(INT(N(D51)/100)*60+MOD(N(D51),100)))/COUNT(B51:D51)/86400,"")</f>
        <v>0.00114583333333333</v>
      </c>
      <c r="F51" s="15" t="n">
        <f aca="false">IFERROR(N(F50)+N(E51),"")</f>
        <v>0.0390625</v>
      </c>
    </row>
    <row r="52" customFormat="false" ht="15" hidden="false" customHeight="false" outlineLevel="0" collapsed="false">
      <c r="A52" s="3" t="s">
        <v>145</v>
      </c>
      <c r="B52" s="13" t="n">
        <v>30</v>
      </c>
      <c r="C52" s="13" t="n">
        <v>26</v>
      </c>
      <c r="D52" s="13"/>
      <c r="E52" s="14" t="n">
        <f aca="false">IFERROR(((INT(N(B52)/100)*60+MOD(N(B52),100))+(INT(N(C52)/100)*60+MOD(N(C52),100))+(INT(N(D52)/100)*60+MOD(N(D52),100)))/COUNT(B52:D52)/86400,"")</f>
        <v>0.000324074074074074</v>
      </c>
      <c r="F52" s="15" t="n">
        <f aca="false">IFERROR(N(F51)+N(E52),"")</f>
        <v>0.0393865740740741</v>
      </c>
    </row>
    <row r="53" customFormat="false" ht="15" hidden="false" customHeight="false" outlineLevel="0" collapsed="false">
      <c r="A53" s="16" t="s">
        <v>146</v>
      </c>
      <c r="B53" s="13" t="n">
        <v>214</v>
      </c>
      <c r="C53" s="13" t="n">
        <v>149</v>
      </c>
      <c r="D53" s="13"/>
      <c r="E53" s="14" t="n">
        <f aca="false">IFERROR(((INT(N(B53)/100)*60+MOD(N(B53),100))+(INT(N(C53)/100)*60+MOD(N(C53),100))+(INT(N(D53)/100)*60+MOD(N(D53),100)))/COUNT(B53:D53)/86400,"")</f>
        <v>0.00140625</v>
      </c>
      <c r="F53" s="15" t="n">
        <f aca="false">IFERROR(N(F52)+N(E53),"")</f>
        <v>0.0407928240740741</v>
      </c>
    </row>
    <row r="54" customFormat="false" ht="15" hidden="false" customHeight="false" outlineLevel="0" collapsed="false">
      <c r="A54" s="3" t="s">
        <v>147</v>
      </c>
      <c r="B54" s="13" t="n">
        <v>27</v>
      </c>
      <c r="C54" s="13" t="n">
        <v>20</v>
      </c>
      <c r="D54" s="13"/>
      <c r="E54" s="14" t="n">
        <f aca="false">IFERROR(((INT(N(B54)/100)*60+MOD(N(B54),100))+(INT(N(C54)/100)*60+MOD(N(C54),100))+(INT(N(D54)/100)*60+MOD(N(D54),100)))/COUNT(B54:D54)/86400,"")</f>
        <v>0.000271990740740741</v>
      </c>
      <c r="F54" s="15" t="n">
        <f aca="false">IFERROR(N(F53)+N(E54),"")</f>
        <v>0.0410648148148148</v>
      </c>
    </row>
    <row r="55" customFormat="false" ht="15" hidden="false" customHeight="false" outlineLevel="0" collapsed="false">
      <c r="A55" s="16" t="s">
        <v>148</v>
      </c>
      <c r="B55" s="13" t="n">
        <v>233</v>
      </c>
      <c r="C55" s="13" t="n">
        <v>225</v>
      </c>
      <c r="D55" s="13"/>
      <c r="E55" s="14" t="n">
        <f aca="false">IFERROR(((INT(N(B55)/100)*60+MOD(N(B55),100))+(INT(N(C55)/100)*60+MOD(N(C55),100))+(INT(N(D55)/100)*60+MOD(N(D55),100)))/COUNT(B55:D55)/86400,"")</f>
        <v>0.00172453703703704</v>
      </c>
      <c r="F55" s="15" t="n">
        <f aca="false">IFERROR(N(F54)+N(E55),"")</f>
        <v>0.0427893518518518</v>
      </c>
    </row>
    <row r="56" customFormat="false" ht="15" hidden="false" customHeight="false" outlineLevel="0" collapsed="false">
      <c r="A56" s="3" t="s">
        <v>149</v>
      </c>
      <c r="B56" s="13" t="n">
        <v>30</v>
      </c>
      <c r="C56" s="13" t="n">
        <v>19</v>
      </c>
      <c r="D56" s="13"/>
      <c r="E56" s="14" t="n">
        <f aca="false">IFERROR(((INT(N(B56)/100)*60+MOD(N(B56),100))+(INT(N(C56)/100)*60+MOD(N(C56),100))+(INT(N(D56)/100)*60+MOD(N(D56),100)))/COUNT(B56:D56)/86400,"")</f>
        <v>0.000283564814814815</v>
      </c>
      <c r="F56" s="15" t="n">
        <f aca="false">IFERROR(N(F55)+N(E56),"")</f>
        <v>0.0430729166666667</v>
      </c>
    </row>
    <row r="57" customFormat="false" ht="15" hidden="false" customHeight="false" outlineLevel="0" collapsed="false">
      <c r="A57" s="16" t="s">
        <v>150</v>
      </c>
      <c r="B57" s="13" t="n">
        <v>230</v>
      </c>
      <c r="C57" s="13" t="n">
        <v>158</v>
      </c>
      <c r="D57" s="13"/>
      <c r="E57" s="14" t="n">
        <f aca="false">IFERROR(((INT(N(B57)/100)*60+MOD(N(B57),100))+(INT(N(C57)/100)*60+MOD(N(C57),100))+(INT(N(D57)/100)*60+MOD(N(D57),100)))/COUNT(B57:D57)/86400,"")</f>
        <v>0.00155092592592593</v>
      </c>
      <c r="F57" s="15" t="n">
        <f aca="false">IFERROR(N(F56)+N(E57),"")</f>
        <v>0.0446238425925926</v>
      </c>
    </row>
    <row r="58" customFormat="false" ht="15" hidden="false" customHeight="false" outlineLevel="0" collapsed="false">
      <c r="A58" s="3" t="s">
        <v>151</v>
      </c>
      <c r="B58" s="13"/>
      <c r="C58" s="13"/>
      <c r="D58" s="13"/>
      <c r="E58" s="14" t="str">
        <f aca="false">IFERROR(((INT(N(B58)/100)*60+MOD(N(B58),100))+(INT(N(C58)/100)*60+MOD(N(C58),100))+(INT(N(D58)/100)*60+MOD(N(D58),100)))/COUNT(B58:D58)/86400,"")</f>
        <v/>
      </c>
      <c r="F58" s="15" t="n">
        <f aca="false">IFERROR(N(F57)+N(E58),"")</f>
        <v>0.0446238425925926</v>
      </c>
    </row>
  </sheetData>
  <conditionalFormatting sqref="B8:D58">
    <cfRule type="expression" priority="2" aboveAverage="0" equalAverage="0" bottom="0" percent="0" rank="0" text="" dxfId="0">
      <formula>AND(B8&lt;&gt;"",MOD(B8,100)&gt;59)</formula>
    </cfRule>
  </conditionalFormatting>
  <dataValidations count="1">
    <dataValidation allowBlank="true" error="Type the stopwatch digits with no colon: 135 for 1 min 35 sec, 47 for 47 seconds. Max 1559." errorStyle="stop" errorTitle="Digits only" operator="between" showDropDown="false" showErrorMessage="true" showInputMessage="false" sqref="B8:D58" type="whole">
      <formula1>0</formula1>
      <formula2>1559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77C0"/>
    <pageSetUpPr fitToPage="false"/>
  </sheetPr>
  <dimension ref="A1:I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29" activePane="bottomRight" state="frozen"/>
      <selection pane="topLeft" activeCell="A1" activeCellId="0" sqref="A1"/>
      <selection pane="topRight" activeCell="B1" activeCellId="0" sqref="B1"/>
      <selection pane="bottomLeft" activeCell="A29" activeCellId="0" sqref="A29"/>
      <selection pane="bottomRight" activeCell="B50" activeCellId="0" sqref="B50"/>
    </sheetView>
  </sheetViews>
  <sheetFormatPr defaultColWidth="8.71484375" defaultRowHeight="15" zeroHeight="false" outlineLevelRow="0" outlineLevelCol="0"/>
  <cols>
    <col collapsed="false" customWidth="true" hidden="false" outlineLevel="0" max="1" min="1" style="0" width="36"/>
    <col collapsed="false" customWidth="true" hidden="false" outlineLevel="0" max="4" min="2" style="0" width="10"/>
    <col collapsed="false" customWidth="true" hidden="false" outlineLevel="0" max="5" min="5" style="0" width="11"/>
    <col collapsed="false" customWidth="true" hidden="false" outlineLevel="0" max="6" min="6" style="0" width="13"/>
    <col collapsed="false" customWidth="true" hidden="false" outlineLevel="0" max="7" min="7" style="0" width="3"/>
    <col collapsed="false" customWidth="true" hidden="false" outlineLevel="0" max="8" min="8" style="0" width="21"/>
    <col collapsed="false" customWidth="true" hidden="false" outlineLevel="0" max="9" min="9" style="0" width="12"/>
  </cols>
  <sheetData>
    <row r="1" customFormat="false" ht="18" hidden="false" customHeight="true" outlineLevel="0" collapsed="false">
      <c r="A1" s="18" t="s">
        <v>152</v>
      </c>
    </row>
    <row r="2" customFormat="false" ht="15" hidden="false" customHeight="false" outlineLevel="0" collapsed="false">
      <c r="A2" s="7" t="s">
        <v>153</v>
      </c>
    </row>
    <row r="3" customFormat="false" ht="15" hidden="false" customHeight="false" outlineLevel="0" collapsed="false">
      <c r="A3" s="7" t="s">
        <v>35</v>
      </c>
      <c r="B3" s="8"/>
      <c r="C3" s="7" t="s">
        <v>36</v>
      </c>
      <c r="D3" s="8"/>
      <c r="E3" s="7" t="s">
        <v>37</v>
      </c>
      <c r="F3" s="8"/>
      <c r="H3" s="7" t="s">
        <v>22</v>
      </c>
      <c r="I3" s="3" t="n">
        <v>28</v>
      </c>
    </row>
    <row r="4" customFormat="false" ht="15" hidden="false" customHeight="false" outlineLevel="0" collapsed="false">
      <c r="H4" s="7" t="s">
        <v>38</v>
      </c>
      <c r="I4" s="3" t="n">
        <v>27</v>
      </c>
    </row>
    <row r="5" customFormat="false" ht="15" hidden="false" customHeight="false" outlineLevel="0" collapsed="false">
      <c r="H5" s="7" t="s">
        <v>39</v>
      </c>
      <c r="I5" s="3" t="n">
        <v>12</v>
      </c>
    </row>
    <row r="6" customFormat="false" ht="15" hidden="false" customHeight="false" outlineLevel="0" collapsed="false">
      <c r="B6" s="9" t="s">
        <v>40</v>
      </c>
      <c r="H6" s="7" t="s">
        <v>41</v>
      </c>
      <c r="I6" s="10" t="n">
        <f aca="false">IFERROR(SUM(E8:E62),"")</f>
        <v>0.0468171296296296</v>
      </c>
    </row>
    <row r="7" customFormat="false" ht="24" hidden="false" customHeight="true" outlineLevel="0" collapsed="false">
      <c r="A7" s="11" t="s">
        <v>42</v>
      </c>
      <c r="B7" s="12" t="s">
        <v>43</v>
      </c>
      <c r="C7" s="12" t="s">
        <v>44</v>
      </c>
      <c r="D7" s="12" t="s">
        <v>45</v>
      </c>
      <c r="E7" s="12" t="s">
        <v>46</v>
      </c>
      <c r="F7" s="12" t="s">
        <v>47</v>
      </c>
    </row>
    <row r="8" customFormat="false" ht="15" hidden="false" customHeight="false" outlineLevel="0" collapsed="false">
      <c r="A8" s="3" t="s">
        <v>154</v>
      </c>
      <c r="B8" s="13"/>
      <c r="C8" s="13"/>
      <c r="D8" s="13"/>
      <c r="E8" s="14" t="str">
        <f aca="false">IFERROR(((INT(N(B8)/100)*60+MOD(N(B8),100))+(INT(N(C8)/100)*60+MOD(N(C8),100))+(INT(N(D8)/100)*60+MOD(N(D8),100)))/COUNT(B8:D8)/86400,"")</f>
        <v/>
      </c>
      <c r="F8" s="15" t="str">
        <f aca="false">IFERROR(E8,"")</f>
        <v/>
      </c>
    </row>
    <row r="9" customFormat="false" ht="15" hidden="false" customHeight="false" outlineLevel="0" collapsed="false">
      <c r="A9" s="16" t="s">
        <v>155</v>
      </c>
      <c r="B9" s="13" t="n">
        <v>448</v>
      </c>
      <c r="C9" s="13" t="n">
        <v>437</v>
      </c>
      <c r="D9" s="13"/>
      <c r="E9" s="14" t="n">
        <f aca="false">IFERROR(((INT(N(B9)/100)*60+MOD(N(B9),100))+(INT(N(C9)/100)*60+MOD(N(C9),100))+(INT(N(D9)/100)*60+MOD(N(D9),100)))/COUNT(B9:D9)/86400,"")</f>
        <v>0.00326967592592593</v>
      </c>
      <c r="F9" s="15" t="n">
        <f aca="false">IFERROR(N(F8)+N(E9),"")</f>
        <v>0.00326967592592593</v>
      </c>
    </row>
    <row r="10" customFormat="false" ht="15" hidden="false" customHeight="false" outlineLevel="0" collapsed="false">
      <c r="A10" s="3" t="s">
        <v>156</v>
      </c>
      <c r="B10" s="13" t="n">
        <v>39</v>
      </c>
      <c r="C10" s="13" t="n">
        <v>28</v>
      </c>
      <c r="D10" s="13"/>
      <c r="E10" s="14" t="n">
        <f aca="false">IFERROR(((INT(N(B10)/100)*60+MOD(N(B10),100))+(INT(N(C10)/100)*60+MOD(N(C10),100))+(INT(N(D10)/100)*60+MOD(N(D10),100)))/COUNT(B10:D10)/86400,"")</f>
        <v>0.000387731481481481</v>
      </c>
      <c r="F10" s="15" t="n">
        <f aca="false">IFERROR(N(F9)+N(E10),"")</f>
        <v>0.00365740740740741</v>
      </c>
    </row>
    <row r="11" customFormat="false" ht="15" hidden="false" customHeight="false" outlineLevel="0" collapsed="false">
      <c r="A11" s="16" t="s">
        <v>157</v>
      </c>
      <c r="B11" s="13" t="n">
        <v>616</v>
      </c>
      <c r="C11" s="13" t="n">
        <v>541</v>
      </c>
      <c r="D11" s="13"/>
      <c r="E11" s="14" t="n">
        <f aca="false">IFERROR(((INT(N(B11)/100)*60+MOD(N(B11),100))+(INT(N(C11)/100)*60+MOD(N(C11),100))+(INT(N(D11)/100)*60+MOD(N(D11),100)))/COUNT(B11:D11)/86400,"")</f>
        <v>0.00414930555555556</v>
      </c>
      <c r="F11" s="15" t="n">
        <f aca="false">IFERROR(N(F10)+N(E11),"")</f>
        <v>0.00780671296296296</v>
      </c>
    </row>
    <row r="12" customFormat="false" ht="15" hidden="false" customHeight="false" outlineLevel="0" collapsed="false">
      <c r="A12" s="3" t="s">
        <v>158</v>
      </c>
      <c r="B12" s="13" t="n">
        <v>28</v>
      </c>
      <c r="C12" s="13" t="n">
        <v>28</v>
      </c>
      <c r="D12" s="13"/>
      <c r="E12" s="14" t="n">
        <f aca="false">IFERROR(((INT(N(B12)/100)*60+MOD(N(B12),100))+(INT(N(C12)/100)*60+MOD(N(C12),100))+(INT(N(D12)/100)*60+MOD(N(D12),100)))/COUNT(B12:D12)/86400,"")</f>
        <v>0.000324074074074074</v>
      </c>
      <c r="F12" s="15" t="n">
        <f aca="false">IFERROR(N(F11)+N(E12),"")</f>
        <v>0.00813078703703704</v>
      </c>
    </row>
    <row r="13" customFormat="false" ht="15" hidden="false" customHeight="false" outlineLevel="0" collapsed="false">
      <c r="A13" s="16" t="s">
        <v>159</v>
      </c>
      <c r="B13" s="13" t="n">
        <v>120</v>
      </c>
      <c r="C13" s="13" t="n">
        <v>114</v>
      </c>
      <c r="D13" s="13"/>
      <c r="E13" s="14" t="n">
        <f aca="false">IFERROR(((INT(N(B13)/100)*60+MOD(N(B13),100))+(INT(N(C13)/100)*60+MOD(N(C13),100))+(INT(N(D13)/100)*60+MOD(N(D13),100)))/COUNT(B13:D13)/86400,"")</f>
        <v>0.000891203703703704</v>
      </c>
      <c r="F13" s="15" t="n">
        <f aca="false">IFERROR(N(F12)+N(E13),"")</f>
        <v>0.00902199074074074</v>
      </c>
    </row>
    <row r="14" customFormat="false" ht="15" hidden="false" customHeight="false" outlineLevel="0" collapsed="false">
      <c r="A14" s="3" t="s">
        <v>160</v>
      </c>
      <c r="B14" s="13" t="n">
        <v>20</v>
      </c>
      <c r="C14" s="13" t="n">
        <v>28</v>
      </c>
      <c r="D14" s="13"/>
      <c r="E14" s="14" t="n">
        <f aca="false">IFERROR(((INT(N(B14)/100)*60+MOD(N(B14),100))+(INT(N(C14)/100)*60+MOD(N(C14),100))+(INT(N(D14)/100)*60+MOD(N(D14),100)))/COUNT(B14:D14)/86400,"")</f>
        <v>0.000277777777777778</v>
      </c>
      <c r="F14" s="15" t="n">
        <f aca="false">IFERROR(N(F13)+N(E14),"")</f>
        <v>0.00929976851851852</v>
      </c>
    </row>
    <row r="15" customFormat="false" ht="15" hidden="false" customHeight="false" outlineLevel="0" collapsed="false">
      <c r="A15" s="16" t="s">
        <v>161</v>
      </c>
      <c r="B15" s="13" t="n">
        <v>212</v>
      </c>
      <c r="C15" s="13" t="n">
        <v>210</v>
      </c>
      <c r="D15" s="13"/>
      <c r="E15" s="14" t="n">
        <f aca="false">IFERROR(((INT(N(B15)/100)*60+MOD(N(B15),100))+(INT(N(C15)/100)*60+MOD(N(C15),100))+(INT(N(D15)/100)*60+MOD(N(D15),100)))/COUNT(B15:D15)/86400,"")</f>
        <v>0.0015162037037037</v>
      </c>
      <c r="F15" s="15" t="n">
        <f aca="false">IFERROR(N(F14)+N(E15),"")</f>
        <v>0.0108159722222222</v>
      </c>
    </row>
    <row r="16" customFormat="false" ht="15" hidden="false" customHeight="false" outlineLevel="0" collapsed="false">
      <c r="A16" s="3" t="s">
        <v>162</v>
      </c>
      <c r="B16" s="13" t="n">
        <v>33</v>
      </c>
      <c r="C16" s="13" t="n">
        <v>23</v>
      </c>
      <c r="D16" s="13"/>
      <c r="E16" s="14" t="n">
        <f aca="false">IFERROR(((INT(N(B16)/100)*60+MOD(N(B16),100))+(INT(N(C16)/100)*60+MOD(N(C16),100))+(INT(N(D16)/100)*60+MOD(N(D16),100)))/COUNT(B16:D16)/86400,"")</f>
        <v>0.000324074074074074</v>
      </c>
      <c r="F16" s="15" t="n">
        <f aca="false">IFERROR(N(F15)+N(E16),"")</f>
        <v>0.0111400462962963</v>
      </c>
    </row>
    <row r="17" customFormat="false" ht="15" hidden="false" customHeight="false" outlineLevel="0" collapsed="false">
      <c r="A17" s="16" t="s">
        <v>163</v>
      </c>
      <c r="B17" s="13" t="n">
        <v>256</v>
      </c>
      <c r="C17" s="13" t="n">
        <v>415</v>
      </c>
      <c r="D17" s="13"/>
      <c r="E17" s="14" t="n">
        <f aca="false">IFERROR(((INT(N(B17)/100)*60+MOD(N(B17),100))+(INT(N(C17)/100)*60+MOD(N(C17),100))+(INT(N(D17)/100)*60+MOD(N(D17),100)))/COUNT(B17:D17)/86400,"")</f>
        <v>0.00249421296296296</v>
      </c>
      <c r="F17" s="15" t="n">
        <f aca="false">IFERROR(N(F16)+N(E17),"")</f>
        <v>0.0136342592592593</v>
      </c>
    </row>
    <row r="18" customFormat="false" ht="15" hidden="false" customHeight="false" outlineLevel="0" collapsed="false">
      <c r="A18" s="3" t="s">
        <v>164</v>
      </c>
      <c r="B18" s="13" t="n">
        <v>44</v>
      </c>
      <c r="C18" s="13" t="n">
        <v>117</v>
      </c>
      <c r="D18" s="13"/>
      <c r="E18" s="14" t="n">
        <f aca="false">IFERROR(((INT(N(B18)/100)*60+MOD(N(B18),100))+(INT(N(C18)/100)*60+MOD(N(C18),100))+(INT(N(D18)/100)*60+MOD(N(D18),100)))/COUNT(B18:D18)/86400,"")</f>
        <v>0.000700231481481482</v>
      </c>
      <c r="F18" s="15" t="n">
        <f aca="false">IFERROR(N(F17)+N(E18),"")</f>
        <v>0.0143344907407407</v>
      </c>
    </row>
    <row r="19" customFormat="false" ht="15" hidden="false" customHeight="false" outlineLevel="0" collapsed="false">
      <c r="A19" s="16" t="s">
        <v>165</v>
      </c>
      <c r="B19" s="13" t="n">
        <v>111</v>
      </c>
      <c r="C19" s="13" t="n">
        <v>25</v>
      </c>
      <c r="D19" s="13"/>
      <c r="E19" s="14" t="n">
        <f aca="false">IFERROR(((INT(N(B19)/100)*60+MOD(N(B19),100))+(INT(N(C19)/100)*60+MOD(N(C19),100))+(INT(N(D19)/100)*60+MOD(N(D19),100)))/COUNT(B19:D19)/86400,"")</f>
        <v>0.000555555555555556</v>
      </c>
      <c r="F19" s="15" t="n">
        <f aca="false">IFERROR(N(F18)+N(E19),"")</f>
        <v>0.0148900462962963</v>
      </c>
    </row>
    <row r="20" customFormat="false" ht="15" hidden="false" customHeight="false" outlineLevel="0" collapsed="false">
      <c r="A20" s="3" t="s">
        <v>166</v>
      </c>
      <c r="B20" s="13" t="n">
        <v>17</v>
      </c>
      <c r="C20" s="13" t="n">
        <v>130</v>
      </c>
      <c r="D20" s="13"/>
      <c r="E20" s="14" t="n">
        <f aca="false">IFERROR(((INT(N(B20)/100)*60+MOD(N(B20),100))+(INT(N(C20)/100)*60+MOD(N(C20),100))+(INT(N(D20)/100)*60+MOD(N(D20),100)))/COUNT(B20:D20)/86400,"")</f>
        <v>0.000619212962962963</v>
      </c>
      <c r="F20" s="15" t="n">
        <f aca="false">IFERROR(N(F19)+N(E20),"")</f>
        <v>0.0155092592592593</v>
      </c>
    </row>
    <row r="21" customFormat="false" ht="15" hidden="false" customHeight="false" outlineLevel="0" collapsed="false">
      <c r="A21" s="16" t="s">
        <v>167</v>
      </c>
      <c r="B21" s="13" t="n">
        <v>122</v>
      </c>
      <c r="C21" s="13"/>
      <c r="D21" s="13"/>
      <c r="E21" s="14" t="n">
        <f aca="false">IFERROR(((INT(N(B21)/100)*60+MOD(N(B21),100))+(INT(N(C21)/100)*60+MOD(N(C21),100))+(INT(N(D21)/100)*60+MOD(N(D21),100)))/COUNT(B21:D21)/86400,"")</f>
        <v>0.000949074074074074</v>
      </c>
      <c r="F21" s="15" t="n">
        <f aca="false">IFERROR(N(F20)+N(E21),"")</f>
        <v>0.0164583333333333</v>
      </c>
    </row>
    <row r="22" customFormat="false" ht="15" hidden="false" customHeight="false" outlineLevel="0" collapsed="false">
      <c r="A22" s="3" t="s">
        <v>168</v>
      </c>
      <c r="B22" s="13" t="n">
        <v>22</v>
      </c>
      <c r="C22" s="13"/>
      <c r="D22" s="13"/>
      <c r="E22" s="14" t="n">
        <f aca="false">IFERROR(((INT(N(B22)/100)*60+MOD(N(B22),100))+(INT(N(C22)/100)*60+MOD(N(C22),100))+(INT(N(D22)/100)*60+MOD(N(D22),100)))/COUNT(B22:D22)/86400,"")</f>
        <v>0.00025462962962963</v>
      </c>
      <c r="F22" s="15" t="n">
        <f aca="false">IFERROR(N(F21)+N(E22),"")</f>
        <v>0.016712962962963</v>
      </c>
    </row>
    <row r="23" customFormat="false" ht="15" hidden="false" customHeight="false" outlineLevel="0" collapsed="false">
      <c r="A23" s="16" t="s">
        <v>169</v>
      </c>
      <c r="B23" s="13" t="n">
        <v>205</v>
      </c>
      <c r="C23" s="13"/>
      <c r="D23" s="13"/>
      <c r="E23" s="14" t="n">
        <f aca="false">IFERROR(((INT(N(B23)/100)*60+MOD(N(B23),100))+(INT(N(C23)/100)*60+MOD(N(C23),100))+(INT(N(D23)/100)*60+MOD(N(D23),100)))/COUNT(B23:D23)/86400,"")</f>
        <v>0.00144675925925926</v>
      </c>
      <c r="F23" s="15" t="n">
        <f aca="false">IFERROR(N(F22)+N(E23),"")</f>
        <v>0.0181597222222222</v>
      </c>
    </row>
    <row r="24" customFormat="false" ht="15" hidden="false" customHeight="false" outlineLevel="0" collapsed="false">
      <c r="A24" s="3" t="s">
        <v>170</v>
      </c>
      <c r="B24" s="13" t="n">
        <v>15</v>
      </c>
      <c r="C24" s="13"/>
      <c r="D24" s="13"/>
      <c r="E24" s="14" t="n">
        <f aca="false">IFERROR(((INT(N(B24)/100)*60+MOD(N(B24),100))+(INT(N(C24)/100)*60+MOD(N(C24),100))+(INT(N(D24)/100)*60+MOD(N(D24),100)))/COUNT(B24:D24)/86400,"")</f>
        <v>0.000173611111111111</v>
      </c>
      <c r="F24" s="15" t="n">
        <f aca="false">IFERROR(N(F23)+N(E24),"")</f>
        <v>0.0183333333333333</v>
      </c>
    </row>
    <row r="25" customFormat="false" ht="15" hidden="false" customHeight="false" outlineLevel="0" collapsed="false">
      <c r="A25" s="16" t="s">
        <v>171</v>
      </c>
      <c r="B25" s="13" t="n">
        <v>234</v>
      </c>
      <c r="C25" s="13" t="n">
        <v>257</v>
      </c>
      <c r="D25" s="13"/>
      <c r="E25" s="14" t="n">
        <f aca="false">IFERROR(((INT(N(B25)/100)*60+MOD(N(B25),100))+(INT(N(C25)/100)*60+MOD(N(C25),100))+(INT(N(D25)/100)*60+MOD(N(D25),100)))/COUNT(B25:D25)/86400,"")</f>
        <v>0.00191550925925926</v>
      </c>
      <c r="F25" s="15" t="n">
        <f aca="false">IFERROR(N(F24)+N(E25),"")</f>
        <v>0.0202488425925926</v>
      </c>
    </row>
    <row r="26" customFormat="false" ht="15" hidden="false" customHeight="false" outlineLevel="0" collapsed="false">
      <c r="A26" s="3" t="s">
        <v>172</v>
      </c>
      <c r="B26" s="13" t="n">
        <v>21</v>
      </c>
      <c r="C26" s="13" t="n">
        <v>56</v>
      </c>
      <c r="D26" s="13"/>
      <c r="E26" s="14" t="n">
        <f aca="false">IFERROR(((INT(N(B26)/100)*60+MOD(N(B26),100))+(INT(N(C26)/100)*60+MOD(N(C26),100))+(INT(N(D26)/100)*60+MOD(N(D26),100)))/COUNT(B26:D26)/86400,"")</f>
        <v>0.000445601851851852</v>
      </c>
      <c r="F26" s="15" t="n">
        <f aca="false">IFERROR(N(F25)+N(E26),"")</f>
        <v>0.0206944444444444</v>
      </c>
    </row>
    <row r="27" customFormat="false" ht="15" hidden="false" customHeight="false" outlineLevel="0" collapsed="false">
      <c r="A27" s="16" t="s">
        <v>118</v>
      </c>
      <c r="B27" s="13" t="n">
        <v>141</v>
      </c>
      <c r="C27" s="13" t="n">
        <v>138</v>
      </c>
      <c r="D27" s="13"/>
      <c r="E27" s="14" t="n">
        <f aca="false">IFERROR(((INT(N(B27)/100)*60+MOD(N(B27),100))+(INT(N(C27)/100)*60+MOD(N(C27),100))+(INT(N(D27)/100)*60+MOD(N(D27),100)))/COUNT(B27:D27)/86400,"")</f>
        <v>0.00115162037037037</v>
      </c>
      <c r="F27" s="15" t="n">
        <f aca="false">IFERROR(N(F26)+N(E27),"")</f>
        <v>0.0218460648148148</v>
      </c>
    </row>
    <row r="28" customFormat="false" ht="15" hidden="false" customHeight="false" outlineLevel="0" collapsed="false">
      <c r="A28" s="3" t="s">
        <v>119</v>
      </c>
      <c r="B28" s="13" t="n">
        <v>14</v>
      </c>
      <c r="C28" s="13"/>
      <c r="D28" s="13"/>
      <c r="E28" s="14" t="n">
        <f aca="false">IFERROR(((INT(N(B28)/100)*60+MOD(N(B28),100))+(INT(N(C28)/100)*60+MOD(N(C28),100))+(INT(N(D28)/100)*60+MOD(N(D28),100)))/COUNT(B28:D28)/86400,"")</f>
        <v>0.000162037037037037</v>
      </c>
      <c r="F28" s="15" t="n">
        <f aca="false">IFERROR(N(F27)+N(E28),"")</f>
        <v>0.0220081018518519</v>
      </c>
    </row>
    <row r="29" customFormat="false" ht="15" hidden="false" customHeight="false" outlineLevel="0" collapsed="false">
      <c r="A29" s="19" t="s">
        <v>173</v>
      </c>
      <c r="B29" s="13" t="n">
        <v>232</v>
      </c>
      <c r="C29" s="13" t="n">
        <v>202</v>
      </c>
      <c r="D29" s="13"/>
      <c r="E29" s="14" t="n">
        <f aca="false">IFERROR(((INT(N(B29)/100)*60+MOD(N(B29),100))+(INT(N(C29)/100)*60+MOD(N(C29),100))+(INT(N(D29)/100)*60+MOD(N(D29),100)))/COUNT(B29:D29)/86400,"")</f>
        <v>0.00158564814814815</v>
      </c>
      <c r="F29" s="15" t="n">
        <f aca="false">IFERROR(N(F28)+N(E29),"")</f>
        <v>0.02359375</v>
      </c>
    </row>
    <row r="30" customFormat="false" ht="15" hidden="false" customHeight="false" outlineLevel="0" collapsed="false">
      <c r="A30" s="3" t="s">
        <v>121</v>
      </c>
      <c r="B30" s="13" t="n">
        <v>29</v>
      </c>
      <c r="C30" s="13" t="n">
        <v>27</v>
      </c>
      <c r="D30" s="13"/>
      <c r="E30" s="14" t="n">
        <f aca="false">IFERROR(((INT(N(B30)/100)*60+MOD(N(B30),100))+(INT(N(C30)/100)*60+MOD(N(C30),100))+(INT(N(D30)/100)*60+MOD(N(D30),100)))/COUNT(B30:D30)/86400,"")</f>
        <v>0.000324074074074074</v>
      </c>
      <c r="F30" s="15" t="n">
        <f aca="false">IFERROR(N(F29)+N(E30),"")</f>
        <v>0.0239178240740741</v>
      </c>
    </row>
    <row r="31" customFormat="false" ht="15" hidden="false" customHeight="false" outlineLevel="0" collapsed="false">
      <c r="A31" s="19" t="s">
        <v>174</v>
      </c>
      <c r="B31" s="13" t="n">
        <v>115</v>
      </c>
      <c r="C31" s="13" t="n">
        <v>109</v>
      </c>
      <c r="D31" s="13"/>
      <c r="E31" s="14" t="n">
        <f aca="false">IFERROR(((INT(N(B31)/100)*60+MOD(N(B31),100))+(INT(N(C31)/100)*60+MOD(N(C31),100))+(INT(N(D31)/100)*60+MOD(N(D31),100)))/COUNT(B31:D31)/86400,"")</f>
        <v>0.000833333333333333</v>
      </c>
      <c r="F31" s="15" t="n">
        <f aca="false">IFERROR(N(F30)+N(E31),"")</f>
        <v>0.0247511574074074</v>
      </c>
    </row>
    <row r="32" customFormat="false" ht="15" hidden="false" customHeight="false" outlineLevel="0" collapsed="false">
      <c r="A32" s="3" t="s">
        <v>123</v>
      </c>
      <c r="B32" s="13" t="n">
        <v>32</v>
      </c>
      <c r="C32" s="13" t="n">
        <v>18</v>
      </c>
      <c r="D32" s="13"/>
      <c r="E32" s="14" t="n">
        <f aca="false">IFERROR(((INT(N(B32)/100)*60+MOD(N(B32),100))+(INT(N(C32)/100)*60+MOD(N(C32),100))+(INT(N(D32)/100)*60+MOD(N(D32),100)))/COUNT(B32:D32)/86400,"")</f>
        <v>0.000289351851851852</v>
      </c>
      <c r="F32" s="15" t="n">
        <f aca="false">IFERROR(N(F31)+N(E32),"")</f>
        <v>0.0250405092592593</v>
      </c>
    </row>
    <row r="33" customFormat="false" ht="15" hidden="false" customHeight="false" outlineLevel="0" collapsed="false">
      <c r="A33" s="19" t="s">
        <v>175</v>
      </c>
      <c r="B33" s="13" t="n">
        <v>55</v>
      </c>
      <c r="C33" s="13" t="n">
        <v>59</v>
      </c>
      <c r="D33" s="13"/>
      <c r="E33" s="14" t="n">
        <f aca="false">IFERROR(((INT(N(B33)/100)*60+MOD(N(B33),100))+(INT(N(C33)/100)*60+MOD(N(C33),100))+(INT(N(D33)/100)*60+MOD(N(D33),100)))/COUNT(B33:D33)/86400,"")</f>
        <v>0.000659722222222222</v>
      </c>
      <c r="F33" s="15" t="n">
        <f aca="false">IFERROR(N(F32)+N(E33),"")</f>
        <v>0.0257002314814815</v>
      </c>
    </row>
    <row r="34" customFormat="false" ht="15" hidden="false" customHeight="false" outlineLevel="0" collapsed="false">
      <c r="A34" s="3" t="s">
        <v>125</v>
      </c>
      <c r="B34" s="13" t="n">
        <v>35</v>
      </c>
      <c r="C34" s="13" t="n">
        <v>23</v>
      </c>
      <c r="D34" s="13"/>
      <c r="E34" s="14" t="n">
        <f aca="false">IFERROR(((INT(N(B34)/100)*60+MOD(N(B34),100))+(INT(N(C34)/100)*60+MOD(N(C34),100))+(INT(N(D34)/100)*60+MOD(N(D34),100)))/COUNT(B34:D34)/86400,"")</f>
        <v>0.000335648148148148</v>
      </c>
      <c r="F34" s="15" t="n">
        <f aca="false">IFERROR(N(F33)+N(E34),"")</f>
        <v>0.0260358796296296</v>
      </c>
    </row>
    <row r="35" customFormat="false" ht="15" hidden="false" customHeight="false" outlineLevel="0" collapsed="false">
      <c r="A35" s="19" t="s">
        <v>176</v>
      </c>
      <c r="B35" s="13" t="n">
        <v>104</v>
      </c>
      <c r="C35" s="13" t="n">
        <v>116</v>
      </c>
      <c r="D35" s="13"/>
      <c r="E35" s="14" t="n">
        <f aca="false">IFERROR(((INT(N(B35)/100)*60+MOD(N(B35),100))+(INT(N(C35)/100)*60+MOD(N(C35),100))+(INT(N(D35)/100)*60+MOD(N(D35),100)))/COUNT(B35:D35)/86400,"")</f>
        <v>0.000810185185185185</v>
      </c>
      <c r="F35" s="15" t="n">
        <f aca="false">IFERROR(N(F34)+N(E35),"")</f>
        <v>0.0268460648148148</v>
      </c>
    </row>
    <row r="36" customFormat="false" ht="15" hidden="false" customHeight="false" outlineLevel="0" collapsed="false">
      <c r="A36" s="3" t="s">
        <v>76</v>
      </c>
      <c r="B36" s="13" t="n">
        <v>33</v>
      </c>
      <c r="C36" s="13"/>
      <c r="D36" s="13"/>
      <c r="E36" s="14" t="n">
        <f aca="false">IFERROR(((INT(N(B36)/100)*60+MOD(N(B36),100))+(INT(N(C36)/100)*60+MOD(N(C36),100))+(INT(N(D36)/100)*60+MOD(N(D36),100)))/COUNT(B36:D36)/86400,"")</f>
        <v>0.000381944444444444</v>
      </c>
      <c r="F36" s="15" t="n">
        <f aca="false">IFERROR(N(F35)+N(E36),"")</f>
        <v>0.0272280092592593</v>
      </c>
    </row>
    <row r="37" customFormat="false" ht="15" hidden="false" customHeight="false" outlineLevel="0" collapsed="false">
      <c r="A37" s="19" t="s">
        <v>177</v>
      </c>
      <c r="B37" s="13"/>
      <c r="C37" s="13" t="n">
        <v>55</v>
      </c>
      <c r="D37" s="13"/>
      <c r="E37" s="14" t="n">
        <f aca="false">IFERROR(((INT(N(B37)/100)*60+MOD(N(B37),100))+(INT(N(C37)/100)*60+MOD(N(C37),100))+(INT(N(D37)/100)*60+MOD(N(D37),100)))/COUNT(B37:D37)/86400,"")</f>
        <v>0.000636574074074074</v>
      </c>
      <c r="F37" s="15" t="n">
        <f aca="false">IFERROR(N(F36)+N(E37),"")</f>
        <v>0.0278645833333333</v>
      </c>
    </row>
    <row r="38" customFormat="false" ht="15" hidden="false" customHeight="false" outlineLevel="0" collapsed="false">
      <c r="A38" s="3" t="s">
        <v>127</v>
      </c>
      <c r="B38" s="13"/>
      <c r="C38" s="13" t="n">
        <v>32</v>
      </c>
      <c r="D38" s="13"/>
      <c r="E38" s="14" t="n">
        <f aca="false">IFERROR(((INT(N(B38)/100)*60+MOD(N(B38),100))+(INT(N(C38)/100)*60+MOD(N(C38),100))+(INT(N(D38)/100)*60+MOD(N(D38),100)))/COUNT(B38:D38)/86400,"")</f>
        <v>0.00037037037037037</v>
      </c>
      <c r="F38" s="15" t="n">
        <f aca="false">IFERROR(N(F37)+N(E38),"")</f>
        <v>0.0282349537037037</v>
      </c>
    </row>
    <row r="39" customFormat="false" ht="15" hidden="false" customHeight="false" outlineLevel="0" collapsed="false">
      <c r="A39" s="19" t="s">
        <v>178</v>
      </c>
      <c r="B39" s="13"/>
      <c r="C39" s="13" t="n">
        <v>120</v>
      </c>
      <c r="D39" s="13"/>
      <c r="E39" s="14" t="n">
        <f aca="false">IFERROR(((INT(N(B39)/100)*60+MOD(N(B39),100))+(INT(N(C39)/100)*60+MOD(N(C39),100))+(INT(N(D39)/100)*60+MOD(N(D39),100)))/COUNT(B39:D39)/86400,"")</f>
        <v>0.000925925925925926</v>
      </c>
      <c r="F39" s="15" t="n">
        <f aca="false">IFERROR(N(F38)+N(E39),"")</f>
        <v>0.0291608796296296</v>
      </c>
    </row>
    <row r="40" customFormat="false" ht="15" hidden="false" customHeight="false" outlineLevel="0" collapsed="false">
      <c r="A40" s="3" t="s">
        <v>129</v>
      </c>
      <c r="B40" s="13"/>
      <c r="C40" s="13" t="n">
        <v>22</v>
      </c>
      <c r="D40" s="13"/>
      <c r="E40" s="14" t="n">
        <f aca="false">IFERROR(((INT(N(B40)/100)*60+MOD(N(B40),100))+(INT(N(C40)/100)*60+MOD(N(C40),100))+(INT(N(D40)/100)*60+MOD(N(D40),100)))/COUNT(B40:D40)/86400,"")</f>
        <v>0.00025462962962963</v>
      </c>
      <c r="F40" s="15" t="n">
        <f aca="false">IFERROR(N(F39)+N(E40),"")</f>
        <v>0.0294155092592593</v>
      </c>
    </row>
    <row r="41" customFormat="false" ht="15" hidden="false" customHeight="false" outlineLevel="0" collapsed="false">
      <c r="A41" s="19" t="s">
        <v>179</v>
      </c>
      <c r="B41" s="13"/>
      <c r="C41" s="13" t="n">
        <v>105</v>
      </c>
      <c r="D41" s="13"/>
      <c r="E41" s="14" t="n">
        <f aca="false">IFERROR(((INT(N(B41)/100)*60+MOD(N(B41),100))+(INT(N(C41)/100)*60+MOD(N(C41),100))+(INT(N(D41)/100)*60+MOD(N(D41),100)))/COUNT(B41:D41)/86400,"")</f>
        <v>0.000752314814814815</v>
      </c>
      <c r="F41" s="15" t="n">
        <f aca="false">IFERROR(N(F40)+N(E41),"")</f>
        <v>0.0301678240740741</v>
      </c>
    </row>
    <row r="42" customFormat="false" ht="15" hidden="false" customHeight="false" outlineLevel="0" collapsed="false">
      <c r="A42" s="3" t="s">
        <v>131</v>
      </c>
      <c r="B42" s="13"/>
      <c r="C42" s="13" t="n">
        <v>25</v>
      </c>
      <c r="D42" s="13"/>
      <c r="E42" s="14" t="n">
        <f aca="false">IFERROR(((INT(N(B42)/100)*60+MOD(N(B42),100))+(INT(N(C42)/100)*60+MOD(N(C42),100))+(INT(N(D42)/100)*60+MOD(N(D42),100)))/COUNT(B42:D42)/86400,"")</f>
        <v>0.000289351851851852</v>
      </c>
      <c r="F42" s="15" t="n">
        <f aca="false">IFERROR(N(F41)+N(E42),"")</f>
        <v>0.0304571759259259</v>
      </c>
    </row>
    <row r="43" customFormat="false" ht="15" hidden="false" customHeight="false" outlineLevel="0" collapsed="false">
      <c r="A43" s="19" t="s">
        <v>180</v>
      </c>
      <c r="B43" s="13"/>
      <c r="C43" s="13" t="n">
        <v>52</v>
      </c>
      <c r="D43" s="13"/>
      <c r="E43" s="14" t="n">
        <f aca="false">IFERROR(((INT(N(B43)/100)*60+MOD(N(B43),100))+(INT(N(C43)/100)*60+MOD(N(C43),100))+(INT(N(D43)/100)*60+MOD(N(D43),100)))/COUNT(B43:D43)/86400,"")</f>
        <v>0.000601851851851852</v>
      </c>
      <c r="F43" s="15" t="n">
        <f aca="false">IFERROR(N(F42)+N(E43),"")</f>
        <v>0.0310590277777778</v>
      </c>
    </row>
    <row r="44" customFormat="false" ht="15" hidden="false" customHeight="false" outlineLevel="0" collapsed="false">
      <c r="A44" s="3" t="s">
        <v>133</v>
      </c>
      <c r="B44" s="13"/>
      <c r="C44" s="13" t="n">
        <v>20</v>
      </c>
      <c r="D44" s="13"/>
      <c r="E44" s="14" t="n">
        <f aca="false">IFERROR(((INT(N(B44)/100)*60+MOD(N(B44),100))+(INT(N(C44)/100)*60+MOD(N(C44),100))+(INT(N(D44)/100)*60+MOD(N(D44),100)))/COUNT(B44:D44)/86400,"")</f>
        <v>0.000231481481481482</v>
      </c>
      <c r="F44" s="15" t="n">
        <f aca="false">IFERROR(N(F43)+N(E44),"")</f>
        <v>0.0312905092592593</v>
      </c>
    </row>
    <row r="45" customFormat="false" ht="15" hidden="false" customHeight="false" outlineLevel="0" collapsed="false">
      <c r="A45" s="19" t="s">
        <v>181</v>
      </c>
      <c r="B45" s="13"/>
      <c r="C45" s="13" t="n">
        <v>106</v>
      </c>
      <c r="D45" s="13"/>
      <c r="E45" s="14" t="n">
        <f aca="false">IFERROR(((INT(N(B45)/100)*60+MOD(N(B45),100))+(INT(N(C45)/100)*60+MOD(N(C45),100))+(INT(N(D45)/100)*60+MOD(N(D45),100)))/COUNT(B45:D45)/86400,"")</f>
        <v>0.000763888888888889</v>
      </c>
      <c r="F45" s="15" t="n">
        <f aca="false">IFERROR(N(F44)+N(E45),"")</f>
        <v>0.0320543981481482</v>
      </c>
    </row>
    <row r="46" customFormat="false" ht="15" hidden="false" customHeight="false" outlineLevel="0" collapsed="false">
      <c r="A46" s="3" t="s">
        <v>135</v>
      </c>
      <c r="B46" s="13"/>
      <c r="C46" s="13" t="n">
        <v>25</v>
      </c>
      <c r="D46" s="13"/>
      <c r="E46" s="14" t="n">
        <f aca="false">IFERROR(((INT(N(B46)/100)*60+MOD(N(B46),100))+(INT(N(C46)/100)*60+MOD(N(C46),100))+(INT(N(D46)/100)*60+MOD(N(D46),100)))/COUNT(B46:D46)/86400,"")</f>
        <v>0.000289351851851852</v>
      </c>
      <c r="F46" s="15" t="n">
        <f aca="false">IFERROR(N(F45)+N(E46),"")</f>
        <v>0.03234375</v>
      </c>
    </row>
    <row r="47" customFormat="false" ht="15" hidden="false" customHeight="false" outlineLevel="0" collapsed="false">
      <c r="A47" s="19" t="s">
        <v>182</v>
      </c>
      <c r="B47" s="13"/>
      <c r="C47" s="13" t="n">
        <v>106</v>
      </c>
      <c r="D47" s="13"/>
      <c r="E47" s="14" t="n">
        <f aca="false">IFERROR(((INT(N(B47)/100)*60+MOD(N(B47),100))+(INT(N(C47)/100)*60+MOD(N(C47),100))+(INT(N(D47)/100)*60+MOD(N(D47),100)))/COUNT(B47:D47)/86400,"")</f>
        <v>0.000763888888888889</v>
      </c>
      <c r="F47" s="15" t="n">
        <f aca="false">IFERROR(N(F46)+N(E47),"")</f>
        <v>0.0331076388888889</v>
      </c>
    </row>
    <row r="48" customFormat="false" ht="15" hidden="false" customHeight="false" outlineLevel="0" collapsed="false">
      <c r="A48" s="3" t="s">
        <v>137</v>
      </c>
      <c r="B48" s="13"/>
      <c r="C48" s="13" t="n">
        <v>30</v>
      </c>
      <c r="D48" s="13"/>
      <c r="E48" s="14" t="n">
        <f aca="false">IFERROR(((INT(N(B48)/100)*60+MOD(N(B48),100))+(INT(N(C48)/100)*60+MOD(N(C48),100))+(INT(N(D48)/100)*60+MOD(N(D48),100)))/COUNT(B48:D48)/86400,"")</f>
        <v>0.000347222222222222</v>
      </c>
      <c r="F48" s="15" t="n">
        <f aca="false">IFERROR(N(F47)+N(E48),"")</f>
        <v>0.0334548611111111</v>
      </c>
    </row>
    <row r="49" customFormat="false" ht="15" hidden="false" customHeight="false" outlineLevel="0" collapsed="false">
      <c r="A49" s="19" t="s">
        <v>183</v>
      </c>
      <c r="B49" s="13"/>
      <c r="C49" s="13" t="n">
        <v>120</v>
      </c>
      <c r="D49" s="13"/>
      <c r="E49" s="14" t="n">
        <f aca="false">IFERROR(((INT(N(B49)/100)*60+MOD(N(B49),100))+(INT(N(C49)/100)*60+MOD(N(C49),100))+(INT(N(D49)/100)*60+MOD(N(D49),100)))/COUNT(B49:D49)/86400,"")</f>
        <v>0.000925925925925926</v>
      </c>
      <c r="F49" s="15" t="n">
        <f aca="false">IFERROR(N(F48)+N(E49),"")</f>
        <v>0.034380787037037</v>
      </c>
    </row>
    <row r="50" customFormat="false" ht="15" hidden="false" customHeight="false" outlineLevel="0" collapsed="false">
      <c r="A50" s="3" t="s">
        <v>139</v>
      </c>
      <c r="B50" s="13"/>
      <c r="C50" s="13" t="n">
        <v>32</v>
      </c>
      <c r="D50" s="13"/>
      <c r="E50" s="14" t="n">
        <f aca="false">IFERROR(((INT(N(B50)/100)*60+MOD(N(B50),100))+(INT(N(C50)/100)*60+MOD(N(C50),100))+(INT(N(D50)/100)*60+MOD(N(D50),100)))/COUNT(B50:D50)/86400,"")</f>
        <v>0.00037037037037037</v>
      </c>
      <c r="F50" s="15" t="n">
        <f aca="false">IFERROR(N(F49)+N(E50),"")</f>
        <v>0.0347511574074074</v>
      </c>
    </row>
    <row r="51" customFormat="false" ht="15" hidden="false" customHeight="false" outlineLevel="0" collapsed="false">
      <c r="A51" s="19" t="s">
        <v>184</v>
      </c>
      <c r="B51" s="13" t="n">
        <v>227</v>
      </c>
      <c r="C51" s="13" t="n">
        <v>213</v>
      </c>
      <c r="D51" s="13"/>
      <c r="E51" s="14" t="n">
        <f aca="false">IFERROR(((INT(N(B51)/100)*60+MOD(N(B51),100))+(INT(N(C51)/100)*60+MOD(N(C51),100))+(INT(N(D51)/100)*60+MOD(N(D51),100)))/COUNT(B51:D51)/86400,"")</f>
        <v>0.00162037037037037</v>
      </c>
      <c r="F51" s="15" t="n">
        <f aca="false">IFERROR(N(F50)+N(E51),"")</f>
        <v>0.0363715277777778</v>
      </c>
    </row>
    <row r="52" customFormat="false" ht="15" hidden="false" customHeight="false" outlineLevel="0" collapsed="false">
      <c r="A52" s="3" t="s">
        <v>141</v>
      </c>
      <c r="B52" s="13" t="n">
        <v>25</v>
      </c>
      <c r="C52" s="13" t="n">
        <v>26</v>
      </c>
      <c r="D52" s="13"/>
      <c r="E52" s="14" t="n">
        <f aca="false">IFERROR(((INT(N(B52)/100)*60+MOD(N(B52),100))+(INT(N(C52)/100)*60+MOD(N(C52),100))+(INT(N(D52)/100)*60+MOD(N(D52),100)))/COUNT(B52:D52)/86400,"")</f>
        <v>0.000295138888888889</v>
      </c>
      <c r="F52" s="15" t="n">
        <f aca="false">IFERROR(N(F51)+N(E52),"")</f>
        <v>0.0366666666666667</v>
      </c>
    </row>
    <row r="53" customFormat="false" ht="15" hidden="false" customHeight="false" outlineLevel="0" collapsed="false">
      <c r="A53" s="16" t="s">
        <v>185</v>
      </c>
      <c r="B53" s="13" t="n">
        <v>329</v>
      </c>
      <c r="C53" s="13" t="n">
        <v>513</v>
      </c>
      <c r="D53" s="13"/>
      <c r="E53" s="14" t="n">
        <f aca="false">IFERROR(((INT(N(B53)/100)*60+MOD(N(B53),100))+(INT(N(C53)/100)*60+MOD(N(C53),100))+(INT(N(D53)/100)*60+MOD(N(D53),100)))/COUNT(B53:D53)/86400,"")</f>
        <v>0.00302083333333333</v>
      </c>
      <c r="F53" s="15" t="n">
        <f aca="false">IFERROR(N(F52)+N(E53),"")</f>
        <v>0.0396875</v>
      </c>
    </row>
    <row r="54" customFormat="false" ht="15" hidden="false" customHeight="false" outlineLevel="0" collapsed="false">
      <c r="A54" s="3" t="s">
        <v>186</v>
      </c>
      <c r="B54" s="13" t="n">
        <v>26</v>
      </c>
      <c r="C54" s="13" t="n">
        <v>27</v>
      </c>
      <c r="D54" s="13"/>
      <c r="E54" s="14" t="n">
        <f aca="false">IFERROR(((INT(N(B54)/100)*60+MOD(N(B54),100))+(INT(N(C54)/100)*60+MOD(N(C54),100))+(INT(N(D54)/100)*60+MOD(N(D54),100)))/COUNT(B54:D54)/86400,"")</f>
        <v>0.000306712962962963</v>
      </c>
      <c r="F54" s="15" t="n">
        <f aca="false">IFERROR(N(F53)+N(E54),"")</f>
        <v>0.039994212962963</v>
      </c>
    </row>
    <row r="55" customFormat="false" ht="15" hidden="false" customHeight="false" outlineLevel="0" collapsed="false">
      <c r="A55" s="16" t="s">
        <v>187</v>
      </c>
      <c r="B55" s="13" t="n">
        <v>208</v>
      </c>
      <c r="C55" s="13" t="n">
        <v>212</v>
      </c>
      <c r="D55" s="13"/>
      <c r="E55" s="14" t="n">
        <f aca="false">IFERROR(((INT(N(B55)/100)*60+MOD(N(B55),100))+(INT(N(C55)/100)*60+MOD(N(C55),100))+(INT(N(D55)/100)*60+MOD(N(D55),100)))/COUNT(B55:D55)/86400,"")</f>
        <v>0.00150462962962963</v>
      </c>
      <c r="F55" s="15" t="n">
        <f aca="false">IFERROR(N(F54)+N(E55),"")</f>
        <v>0.0414988425925926</v>
      </c>
    </row>
    <row r="56" customFormat="false" ht="15" hidden="false" customHeight="false" outlineLevel="0" collapsed="false">
      <c r="A56" s="3" t="s">
        <v>188</v>
      </c>
      <c r="B56" s="13" t="n">
        <v>21</v>
      </c>
      <c r="C56" s="13" t="n">
        <v>32</v>
      </c>
      <c r="D56" s="13"/>
      <c r="E56" s="14" t="n">
        <f aca="false">IFERROR(((INT(N(B56)/100)*60+MOD(N(B56),100))+(INT(N(C56)/100)*60+MOD(N(C56),100))+(INT(N(D56)/100)*60+MOD(N(D56),100)))/COUNT(B56:D56)/86400,"")</f>
        <v>0.000306712962962963</v>
      </c>
      <c r="F56" s="15" t="n">
        <f aca="false">IFERROR(N(F55)+N(E56),"")</f>
        <v>0.0418055555555556</v>
      </c>
    </row>
    <row r="57" customFormat="false" ht="15" hidden="false" customHeight="false" outlineLevel="0" collapsed="false">
      <c r="A57" s="16" t="s">
        <v>189</v>
      </c>
      <c r="B57" s="13" t="n">
        <v>139</v>
      </c>
      <c r="C57" s="13" t="n">
        <v>133</v>
      </c>
      <c r="D57" s="13"/>
      <c r="E57" s="14" t="n">
        <f aca="false">IFERROR(((INT(N(B57)/100)*60+MOD(N(B57),100))+(INT(N(C57)/100)*60+MOD(N(C57),100))+(INT(N(D57)/100)*60+MOD(N(D57),100)))/COUNT(B57:D57)/86400,"")</f>
        <v>0.00111111111111111</v>
      </c>
      <c r="F57" s="15" t="n">
        <f aca="false">IFERROR(N(F56)+N(E57),"")</f>
        <v>0.0429166666666667</v>
      </c>
    </row>
    <row r="58" customFormat="false" ht="15" hidden="false" customHeight="false" outlineLevel="0" collapsed="false">
      <c r="A58" s="3" t="s">
        <v>190</v>
      </c>
      <c r="B58" s="13" t="n">
        <v>25</v>
      </c>
      <c r="C58" s="13" t="n">
        <v>32</v>
      </c>
      <c r="D58" s="13"/>
      <c r="E58" s="14" t="n">
        <f aca="false">IFERROR(((INT(N(B58)/100)*60+MOD(N(B58),100))+(INT(N(C58)/100)*60+MOD(N(C58),100))+(INT(N(D58)/100)*60+MOD(N(D58),100)))/COUNT(B58:D58)/86400,"")</f>
        <v>0.000329861111111111</v>
      </c>
      <c r="F58" s="15" t="n">
        <f aca="false">IFERROR(N(F57)+N(E58),"")</f>
        <v>0.0432465277777778</v>
      </c>
    </row>
    <row r="59" customFormat="false" ht="15" hidden="false" customHeight="false" outlineLevel="0" collapsed="false">
      <c r="A59" s="16" t="s">
        <v>191</v>
      </c>
      <c r="B59" s="13" t="n">
        <v>205</v>
      </c>
      <c r="C59" s="13" t="n">
        <v>205</v>
      </c>
      <c r="D59" s="13"/>
      <c r="E59" s="14" t="n">
        <f aca="false">IFERROR(((INT(N(B59)/100)*60+MOD(N(B59),100))+(INT(N(C59)/100)*60+MOD(N(C59),100))+(INT(N(D59)/100)*60+MOD(N(D59),100)))/COUNT(B59:D59)/86400,"")</f>
        <v>0.00144675925925926</v>
      </c>
      <c r="F59" s="15" t="n">
        <f aca="false">IFERROR(N(F58)+N(E59),"")</f>
        <v>0.044693287037037</v>
      </c>
    </row>
    <row r="60" customFormat="false" ht="15" hidden="false" customHeight="false" outlineLevel="0" collapsed="false">
      <c r="A60" s="3" t="s">
        <v>192</v>
      </c>
      <c r="B60" s="13" t="n">
        <v>33</v>
      </c>
      <c r="C60" s="13" t="n">
        <v>36</v>
      </c>
      <c r="D60" s="13"/>
      <c r="E60" s="14" t="n">
        <f aca="false">IFERROR(((INT(N(B60)/100)*60+MOD(N(B60),100))+(INT(N(C60)/100)*60+MOD(N(C60),100))+(INT(N(D60)/100)*60+MOD(N(D60),100)))/COUNT(B60:D60)/86400,"")</f>
        <v>0.000399305555555556</v>
      </c>
      <c r="F60" s="15" t="n">
        <f aca="false">IFERROR(N(F59)+N(E60),"")</f>
        <v>0.0450925925925926</v>
      </c>
    </row>
    <row r="61" customFormat="false" ht="15" hidden="false" customHeight="false" outlineLevel="0" collapsed="false">
      <c r="A61" s="16" t="s">
        <v>193</v>
      </c>
      <c r="B61" s="13" t="n">
        <v>222</v>
      </c>
      <c r="C61" s="13" t="n">
        <v>236</v>
      </c>
      <c r="D61" s="13"/>
      <c r="E61" s="14" t="n">
        <f aca="false">IFERROR(((INT(N(B61)/100)*60+MOD(N(B61),100))+(INT(N(C61)/100)*60+MOD(N(C61),100))+(INT(N(D61)/100)*60+MOD(N(D61),100)))/COUNT(B61:D61)/86400,"")</f>
        <v>0.00172453703703704</v>
      </c>
      <c r="F61" s="15" t="n">
        <f aca="false">IFERROR(N(F60)+N(E61),"")</f>
        <v>0.0468171296296296</v>
      </c>
    </row>
    <row r="62" customFormat="false" ht="15" hidden="false" customHeight="false" outlineLevel="0" collapsed="false">
      <c r="A62" s="3" t="s">
        <v>194</v>
      </c>
      <c r="B62" s="13"/>
      <c r="D62" s="13"/>
      <c r="E62" s="14" t="str">
        <f aca="false">IFERROR(((INT(N(B62)/100)*60+MOD(N(B62),100))+(INT(N(C62)/100)*60+MOD(N(C62),100))+(INT(N(D62)/100)*60+MOD(N(D62),100)))/COUNT(B62:D62)/86400,"")</f>
        <v/>
      </c>
      <c r="F62" s="15" t="n">
        <f aca="false">IFERROR(N(F61)+N(E62),"")</f>
        <v>0.0468171296296296</v>
      </c>
    </row>
  </sheetData>
  <conditionalFormatting sqref="B8:D42 B43:B62 C43:C61 D43:D62">
    <cfRule type="expression" priority="2" aboveAverage="0" equalAverage="0" bottom="0" percent="0" rank="0" text="" dxfId="0">
      <formula>AND(B8&lt;&gt;"",MOD(B8,100)&gt;59)</formula>
    </cfRule>
  </conditionalFormatting>
  <dataValidations count="1">
    <dataValidation allowBlank="true" error="Type the stopwatch digits with no colon: 135 for 1 min 35 sec, 47 for 47 seconds. Max 1559." errorStyle="stop" errorTitle="Digits only" operator="between" showDropDown="false" showErrorMessage="true" showInputMessage="false" sqref="B8:D61 B62 D62" type="whole">
      <formula1>0</formula1>
      <formula2>1559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140"/>
    <pageSetUpPr fitToPage="false"/>
  </sheetPr>
  <dimension ref="A1:I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B32" activeCellId="0" sqref="B32"/>
    </sheetView>
  </sheetViews>
  <sheetFormatPr defaultColWidth="8.71484375" defaultRowHeight="15" zeroHeight="false" outlineLevelRow="0" outlineLevelCol="0"/>
  <cols>
    <col collapsed="false" customWidth="true" hidden="false" outlineLevel="0" max="1" min="1" style="0" width="36"/>
    <col collapsed="false" customWidth="true" hidden="false" outlineLevel="0" max="4" min="2" style="0" width="10"/>
    <col collapsed="false" customWidth="true" hidden="false" outlineLevel="0" max="5" min="5" style="0" width="11"/>
    <col collapsed="false" customWidth="true" hidden="false" outlineLevel="0" max="6" min="6" style="0" width="13"/>
    <col collapsed="false" customWidth="true" hidden="false" outlineLevel="0" max="7" min="7" style="0" width="3"/>
    <col collapsed="false" customWidth="true" hidden="false" outlineLevel="0" max="8" min="8" style="0" width="21"/>
    <col collapsed="false" customWidth="true" hidden="false" outlineLevel="0" max="9" min="9" style="0" width="12"/>
  </cols>
  <sheetData>
    <row r="1" customFormat="false" ht="18" hidden="false" customHeight="true" outlineLevel="0" collapsed="false">
      <c r="A1" s="20" t="s">
        <v>195</v>
      </c>
    </row>
    <row r="2" customFormat="false" ht="15" hidden="false" customHeight="false" outlineLevel="0" collapsed="false">
      <c r="A2" s="7" t="s">
        <v>196</v>
      </c>
    </row>
    <row r="3" customFormat="false" ht="15" hidden="false" customHeight="false" outlineLevel="0" collapsed="false">
      <c r="A3" s="7" t="s">
        <v>35</v>
      </c>
      <c r="B3" s="8"/>
      <c r="C3" s="7" t="s">
        <v>36</v>
      </c>
      <c r="D3" s="8"/>
      <c r="E3" s="7" t="s">
        <v>37</v>
      </c>
      <c r="F3" s="8"/>
      <c r="H3" s="7" t="s">
        <v>22</v>
      </c>
      <c r="I3" s="3" t="n">
        <v>21</v>
      </c>
    </row>
    <row r="4" customFormat="false" ht="15" hidden="false" customHeight="false" outlineLevel="0" collapsed="false">
      <c r="H4" s="7" t="s">
        <v>38</v>
      </c>
      <c r="I4" s="3" t="n">
        <v>20</v>
      </c>
    </row>
    <row r="5" customFormat="false" ht="15" hidden="false" customHeight="false" outlineLevel="0" collapsed="false">
      <c r="H5" s="7" t="s">
        <v>39</v>
      </c>
      <c r="I5" s="3" t="n">
        <v>0</v>
      </c>
    </row>
    <row r="6" customFormat="false" ht="15" hidden="false" customHeight="false" outlineLevel="0" collapsed="false">
      <c r="B6" s="9" t="s">
        <v>40</v>
      </c>
      <c r="H6" s="7" t="s">
        <v>41</v>
      </c>
      <c r="I6" s="10" t="n">
        <f aca="false">IFERROR(SUM(E8:E48),"")</f>
        <v>0.0346990740740741</v>
      </c>
    </row>
    <row r="7" customFormat="false" ht="24" hidden="false" customHeight="true" outlineLevel="0" collapsed="false">
      <c r="A7" s="11" t="s">
        <v>42</v>
      </c>
      <c r="B7" s="12" t="s">
        <v>43</v>
      </c>
      <c r="C7" s="12" t="s">
        <v>44</v>
      </c>
      <c r="D7" s="12" t="s">
        <v>45</v>
      </c>
      <c r="E7" s="12" t="s">
        <v>46</v>
      </c>
      <c r="F7" s="12" t="s">
        <v>47</v>
      </c>
    </row>
    <row r="8" customFormat="false" ht="15" hidden="false" customHeight="false" outlineLevel="0" collapsed="false">
      <c r="A8" s="3" t="s">
        <v>197</v>
      </c>
      <c r="B8" s="13"/>
      <c r="C8" s="13"/>
      <c r="D8" s="13"/>
      <c r="E8" s="14" t="str">
        <f aca="false">IFERROR(((INT(N(B8)/100)*60+MOD(N(B8),100))+(INT(N(C8)/100)*60+MOD(N(C8),100))+(INT(N(D8)/100)*60+MOD(N(D8),100)))/COUNT(B8:D8)/86400,"")</f>
        <v/>
      </c>
      <c r="F8" s="15" t="str">
        <f aca="false">IFERROR(E8,"")</f>
        <v/>
      </c>
    </row>
    <row r="9" customFormat="false" ht="15" hidden="false" customHeight="false" outlineLevel="0" collapsed="false">
      <c r="A9" s="16" t="s">
        <v>198</v>
      </c>
      <c r="B9" s="13" t="n">
        <v>349</v>
      </c>
      <c r="C9" s="13" t="n">
        <v>355</v>
      </c>
      <c r="D9" s="13"/>
      <c r="E9" s="14" t="n">
        <f aca="false">IFERROR(((INT(N(B9)/100)*60+MOD(N(B9),100))+(INT(N(C9)/100)*60+MOD(N(C9),100))+(INT(N(D9)/100)*60+MOD(N(D9),100)))/COUNT(B9:D9)/86400,"")</f>
        <v>0.00268518518518519</v>
      </c>
      <c r="F9" s="15" t="n">
        <f aca="false">IFERROR(N(F8)+N(E9),"")</f>
        <v>0.00268518518518519</v>
      </c>
    </row>
    <row r="10" customFormat="false" ht="15" hidden="false" customHeight="false" outlineLevel="0" collapsed="false">
      <c r="A10" s="3" t="s">
        <v>199</v>
      </c>
      <c r="B10" s="13" t="n">
        <v>37</v>
      </c>
      <c r="C10" s="13" t="n">
        <v>36</v>
      </c>
      <c r="D10" s="13"/>
      <c r="E10" s="14" t="n">
        <f aca="false">IFERROR(((INT(N(B10)/100)*60+MOD(N(B10),100))+(INT(N(C10)/100)*60+MOD(N(C10),100))+(INT(N(D10)/100)*60+MOD(N(D10),100)))/COUNT(B10:D10)/86400,"")</f>
        <v>0.000422453703703704</v>
      </c>
      <c r="F10" s="15" t="n">
        <f aca="false">IFERROR(N(F9)+N(E10),"")</f>
        <v>0.00310763888888889</v>
      </c>
    </row>
    <row r="11" customFormat="false" ht="15" hidden="false" customHeight="false" outlineLevel="0" collapsed="false">
      <c r="A11" s="16" t="s">
        <v>200</v>
      </c>
      <c r="B11" s="13" t="n">
        <v>304</v>
      </c>
      <c r="C11" s="13" t="n">
        <v>256</v>
      </c>
      <c r="D11" s="13"/>
      <c r="E11" s="14" t="n">
        <f aca="false">IFERROR(((INT(N(B11)/100)*60+MOD(N(B11),100))+(INT(N(C11)/100)*60+MOD(N(C11),100))+(INT(N(D11)/100)*60+MOD(N(D11),100)))/COUNT(B11:D11)/86400,"")</f>
        <v>0.00208333333333333</v>
      </c>
      <c r="F11" s="15" t="n">
        <f aca="false">IFERROR(N(F10)+N(E11),"")</f>
        <v>0.00519097222222222</v>
      </c>
    </row>
    <row r="12" customFormat="false" ht="15" hidden="false" customHeight="false" outlineLevel="0" collapsed="false">
      <c r="A12" s="3" t="s">
        <v>201</v>
      </c>
      <c r="B12" s="13" t="n">
        <v>25</v>
      </c>
      <c r="C12" s="13" t="n">
        <v>31</v>
      </c>
      <c r="D12" s="13"/>
      <c r="E12" s="14" t="n">
        <f aca="false">IFERROR(((INT(N(B12)/100)*60+MOD(N(B12),100))+(INT(N(C12)/100)*60+MOD(N(C12),100))+(INT(N(D12)/100)*60+MOD(N(D12),100)))/COUNT(B12:D12)/86400,"")</f>
        <v>0.000324074074074074</v>
      </c>
      <c r="F12" s="15" t="n">
        <f aca="false">IFERROR(N(F11)+N(E12),"")</f>
        <v>0.0055150462962963</v>
      </c>
    </row>
    <row r="13" customFormat="false" ht="15" hidden="false" customHeight="false" outlineLevel="0" collapsed="false">
      <c r="A13" s="16" t="s">
        <v>202</v>
      </c>
      <c r="B13" s="13" t="n">
        <v>210</v>
      </c>
      <c r="C13" s="13" t="n">
        <v>206</v>
      </c>
      <c r="D13" s="13"/>
      <c r="E13" s="14" t="n">
        <f aca="false">IFERROR(((INT(N(B13)/100)*60+MOD(N(B13),100))+(INT(N(C13)/100)*60+MOD(N(C13),100))+(INT(N(D13)/100)*60+MOD(N(D13),100)))/COUNT(B13:D13)/86400,"")</f>
        <v>0.00148148148148148</v>
      </c>
      <c r="F13" s="15" t="n">
        <f aca="false">IFERROR(N(F12)+N(E13),"")</f>
        <v>0.00699652777777778</v>
      </c>
    </row>
    <row r="14" customFormat="false" ht="15" hidden="false" customHeight="false" outlineLevel="0" collapsed="false">
      <c r="A14" s="3" t="s">
        <v>203</v>
      </c>
      <c r="B14" s="13" t="n">
        <v>27</v>
      </c>
      <c r="C14" s="13" t="n">
        <v>29</v>
      </c>
      <c r="D14" s="13"/>
      <c r="E14" s="14" t="n">
        <f aca="false">IFERROR(((INT(N(B14)/100)*60+MOD(N(B14),100))+(INT(N(C14)/100)*60+MOD(N(C14),100))+(INT(N(D14)/100)*60+MOD(N(D14),100)))/COUNT(B14:D14)/86400,"")</f>
        <v>0.000324074074074074</v>
      </c>
      <c r="F14" s="15" t="n">
        <f aca="false">IFERROR(N(F13)+N(E14),"")</f>
        <v>0.00732060185185185</v>
      </c>
    </row>
    <row r="15" customFormat="false" ht="15" hidden="false" customHeight="false" outlineLevel="0" collapsed="false">
      <c r="A15" s="16" t="s">
        <v>89</v>
      </c>
      <c r="B15" s="13" t="n">
        <v>345</v>
      </c>
      <c r="C15" s="13" t="n">
        <v>248</v>
      </c>
      <c r="D15" s="13"/>
      <c r="E15" s="14" t="n">
        <f aca="false">IFERROR(((INT(N(B15)/100)*60+MOD(N(B15),100))+(INT(N(C15)/100)*60+MOD(N(C15),100))+(INT(N(D15)/100)*60+MOD(N(D15),100)))/COUNT(B15:D15)/86400,"")</f>
        <v>0.00227430555555556</v>
      </c>
      <c r="F15" s="15" t="n">
        <f aca="false">IFERROR(N(F14)+N(E15),"")</f>
        <v>0.00959490740740741</v>
      </c>
    </row>
    <row r="16" customFormat="false" ht="15" hidden="false" customHeight="false" outlineLevel="0" collapsed="false">
      <c r="A16" s="3" t="s">
        <v>90</v>
      </c>
      <c r="B16" s="13"/>
      <c r="C16" s="21" t="n">
        <v>38</v>
      </c>
      <c r="D16" s="13"/>
      <c r="E16" s="14" t="n">
        <f aca="false">IFERROR(((INT(N(B16)/100)*60+MOD(N(B16),100))+(INT(N(C16)/100)*60+MOD(N(C16),100))+(INT(N(D16)/100)*60+MOD(N(D16),100)))/COUNT(B16:D16)/86400,"")</f>
        <v>0.000439814814814815</v>
      </c>
      <c r="F16" s="15" t="n">
        <f aca="false">IFERROR(N(F15)+N(E16),"")</f>
        <v>0.0100347222222222</v>
      </c>
    </row>
    <row r="17" customFormat="false" ht="15" hidden="false" customHeight="false" outlineLevel="0" collapsed="false">
      <c r="A17" s="16" t="s">
        <v>204</v>
      </c>
      <c r="B17" s="13"/>
      <c r="C17" s="13" t="n">
        <v>220</v>
      </c>
      <c r="D17" s="13"/>
      <c r="E17" s="14" t="n">
        <f aca="false">IFERROR(((INT(N(B17)/100)*60+MOD(N(B17),100))+(INT(N(C17)/100)*60+MOD(N(C17),100))+(INT(N(D17)/100)*60+MOD(N(D17),100)))/COUNT(B17:D17)/86400,"")</f>
        <v>0.00162037037037037</v>
      </c>
      <c r="F17" s="15" t="n">
        <f aca="false">IFERROR(N(F16)+N(E17),"")</f>
        <v>0.0116550925925926</v>
      </c>
    </row>
    <row r="18" customFormat="false" ht="15" hidden="false" customHeight="false" outlineLevel="0" collapsed="false">
      <c r="A18" s="3" t="s">
        <v>205</v>
      </c>
      <c r="B18" s="13"/>
      <c r="C18" s="13" t="n">
        <v>39</v>
      </c>
      <c r="D18" s="13"/>
      <c r="E18" s="14" t="n">
        <f aca="false">IFERROR(((INT(N(B18)/100)*60+MOD(N(B18),100))+(INT(N(C18)/100)*60+MOD(N(C18),100))+(INT(N(D18)/100)*60+MOD(N(D18),100)))/COUNT(B18:D18)/86400,"")</f>
        <v>0.000451388888888889</v>
      </c>
      <c r="F18" s="15" t="n">
        <f aca="false">IFERROR(N(F17)+N(E18),"")</f>
        <v>0.0121064814814815</v>
      </c>
    </row>
    <row r="19" customFormat="false" ht="15" hidden="false" customHeight="false" outlineLevel="0" collapsed="false">
      <c r="A19" s="16" t="s">
        <v>206</v>
      </c>
      <c r="B19" s="13"/>
      <c r="C19" s="13" t="n">
        <v>157</v>
      </c>
      <c r="D19" s="13"/>
      <c r="E19" s="14" t="n">
        <f aca="false">IFERROR(((INT(N(B19)/100)*60+MOD(N(B19),100))+(INT(N(C19)/100)*60+MOD(N(C19),100))+(INT(N(D19)/100)*60+MOD(N(D19),100)))/COUNT(B19:D19)/86400,"")</f>
        <v>0.00135416666666667</v>
      </c>
      <c r="F19" s="15" t="n">
        <f aca="false">IFERROR(N(F18)+N(E19),"")</f>
        <v>0.0134606481481481</v>
      </c>
    </row>
    <row r="20" customFormat="false" ht="15" hidden="false" customHeight="false" outlineLevel="0" collapsed="false">
      <c r="A20" s="3" t="s">
        <v>207</v>
      </c>
      <c r="B20" s="13"/>
      <c r="C20" s="13" t="n">
        <v>42</v>
      </c>
      <c r="D20" s="13"/>
      <c r="E20" s="14" t="n">
        <f aca="false">IFERROR(((INT(N(B20)/100)*60+MOD(N(B20),100))+(INT(N(C20)/100)*60+MOD(N(C20),100))+(INT(N(D20)/100)*60+MOD(N(D20),100)))/COUNT(B20:D20)/86400,"")</f>
        <v>0.000486111111111111</v>
      </c>
      <c r="F20" s="15" t="n">
        <f aca="false">IFERROR(N(F19)+N(E20),"")</f>
        <v>0.0139467592592593</v>
      </c>
    </row>
    <row r="21" customFormat="false" ht="15" hidden="false" customHeight="false" outlineLevel="0" collapsed="false">
      <c r="A21" s="16" t="s">
        <v>208</v>
      </c>
      <c r="B21" s="13"/>
      <c r="C21" s="13" t="n">
        <v>138</v>
      </c>
      <c r="D21" s="13"/>
      <c r="E21" s="14" t="n">
        <f aca="false">IFERROR(((INT(N(B21)/100)*60+MOD(N(B21),100))+(INT(N(C21)/100)*60+MOD(N(C21),100))+(INT(N(D21)/100)*60+MOD(N(D21),100)))/COUNT(B21:D21)/86400,"")</f>
        <v>0.00113425925925926</v>
      </c>
      <c r="F21" s="15" t="n">
        <f aca="false">IFERROR(N(F20)+N(E21),"")</f>
        <v>0.0150810185185185</v>
      </c>
    </row>
    <row r="22" customFormat="false" ht="15" hidden="false" customHeight="false" outlineLevel="0" collapsed="false">
      <c r="A22" s="3" t="s">
        <v>209</v>
      </c>
      <c r="B22" s="13"/>
      <c r="C22" s="13" t="n">
        <v>38</v>
      </c>
      <c r="D22" s="13"/>
      <c r="E22" s="14" t="n">
        <f aca="false">IFERROR(((INT(N(B22)/100)*60+MOD(N(B22),100))+(INT(N(C22)/100)*60+MOD(N(C22),100))+(INT(N(D22)/100)*60+MOD(N(D22),100)))/COUNT(B22:D22)/86400,"")</f>
        <v>0.000439814814814815</v>
      </c>
      <c r="F22" s="15" t="n">
        <f aca="false">IFERROR(N(F21)+N(E22),"")</f>
        <v>0.0155208333333333</v>
      </c>
    </row>
    <row r="23" customFormat="false" ht="15" hidden="false" customHeight="false" outlineLevel="0" collapsed="false">
      <c r="A23" s="16" t="s">
        <v>210</v>
      </c>
      <c r="B23" s="13"/>
      <c r="C23" s="13" t="n">
        <v>102</v>
      </c>
      <c r="D23" s="13"/>
      <c r="E23" s="14" t="n">
        <f aca="false">IFERROR(((INT(N(B23)/100)*60+MOD(N(B23),100))+(INT(N(C23)/100)*60+MOD(N(C23),100))+(INT(N(D23)/100)*60+MOD(N(D23),100)))/COUNT(B23:D23)/86400,"")</f>
        <v>0.000717592592592593</v>
      </c>
      <c r="F23" s="15" t="n">
        <f aca="false">IFERROR(N(F22)+N(E23),"")</f>
        <v>0.0162384259259259</v>
      </c>
    </row>
    <row r="24" customFormat="false" ht="15" hidden="false" customHeight="false" outlineLevel="0" collapsed="false">
      <c r="A24" s="3" t="s">
        <v>211</v>
      </c>
      <c r="B24" s="13"/>
      <c r="C24" s="13" t="n">
        <v>29</v>
      </c>
      <c r="D24" s="13"/>
      <c r="E24" s="14" t="n">
        <f aca="false">IFERROR(((INT(N(B24)/100)*60+MOD(N(B24),100))+(INT(N(C24)/100)*60+MOD(N(C24),100))+(INT(N(D24)/100)*60+MOD(N(D24),100)))/COUNT(B24:D24)/86400,"")</f>
        <v>0.000335648148148148</v>
      </c>
      <c r="F24" s="15" t="n">
        <f aca="false">IFERROR(N(F23)+N(E24),"")</f>
        <v>0.0165740740740741</v>
      </c>
    </row>
    <row r="25" customFormat="false" ht="15" hidden="false" customHeight="false" outlineLevel="0" collapsed="false">
      <c r="A25" s="16" t="s">
        <v>212</v>
      </c>
      <c r="B25" s="13"/>
      <c r="C25" s="13" t="n">
        <v>59</v>
      </c>
      <c r="D25" s="13"/>
      <c r="E25" s="14" t="n">
        <f aca="false">IFERROR(((INT(N(B25)/100)*60+MOD(N(B25),100))+(INT(N(C25)/100)*60+MOD(N(C25),100))+(INT(N(D25)/100)*60+MOD(N(D25),100)))/COUNT(B25:D25)/86400,"")</f>
        <v>0.00068287037037037</v>
      </c>
      <c r="F25" s="15" t="n">
        <f aca="false">IFERROR(N(F24)+N(E25),"")</f>
        <v>0.0172569444444444</v>
      </c>
    </row>
    <row r="26" customFormat="false" ht="15" hidden="false" customHeight="false" outlineLevel="0" collapsed="false">
      <c r="A26" s="3" t="s">
        <v>213</v>
      </c>
      <c r="B26" s="13"/>
      <c r="C26" s="13" t="n">
        <v>26</v>
      </c>
      <c r="D26" s="13"/>
      <c r="E26" s="14" t="n">
        <f aca="false">IFERROR(((INT(N(B26)/100)*60+MOD(N(B26),100))+(INT(N(C26)/100)*60+MOD(N(C26),100))+(INT(N(D26)/100)*60+MOD(N(D26),100)))/COUNT(B26:D26)/86400,"")</f>
        <v>0.000300925925925926</v>
      </c>
      <c r="F26" s="15" t="n">
        <f aca="false">IFERROR(N(F25)+N(E26),"")</f>
        <v>0.0175578703703704</v>
      </c>
    </row>
    <row r="27" customFormat="false" ht="15" hidden="false" customHeight="false" outlineLevel="0" collapsed="false">
      <c r="A27" s="16" t="s">
        <v>77</v>
      </c>
      <c r="B27" s="13"/>
      <c r="C27" s="13" t="n">
        <v>103</v>
      </c>
      <c r="D27" s="13"/>
      <c r="E27" s="14" t="n">
        <f aca="false">IFERROR(((INT(N(B27)/100)*60+MOD(N(B27),100))+(INT(N(C27)/100)*60+MOD(N(C27),100))+(INT(N(D27)/100)*60+MOD(N(D27),100)))/COUNT(B27:D27)/86400,"")</f>
        <v>0.000729166666666667</v>
      </c>
      <c r="F27" s="15" t="n">
        <f aca="false">IFERROR(N(F26)+N(E27),"")</f>
        <v>0.018287037037037</v>
      </c>
    </row>
    <row r="28" customFormat="false" ht="15" hidden="false" customHeight="false" outlineLevel="0" collapsed="false">
      <c r="A28" s="3" t="s">
        <v>78</v>
      </c>
      <c r="B28" s="13"/>
      <c r="C28" s="13" t="n">
        <v>34</v>
      </c>
      <c r="D28" s="13"/>
      <c r="E28" s="14" t="n">
        <f aca="false">IFERROR(((INT(N(B28)/100)*60+MOD(N(B28),100))+(INT(N(C28)/100)*60+MOD(N(C28),100))+(INT(N(D28)/100)*60+MOD(N(D28),100)))/COUNT(B28:D28)/86400,"")</f>
        <v>0.000393518518518519</v>
      </c>
      <c r="F28" s="15" t="n">
        <f aca="false">IFERROR(N(F27)+N(E28),"")</f>
        <v>0.0186805555555556</v>
      </c>
    </row>
    <row r="29" customFormat="false" ht="15" hidden="false" customHeight="false" outlineLevel="0" collapsed="false">
      <c r="A29" s="16" t="s">
        <v>214</v>
      </c>
      <c r="B29" s="13"/>
      <c r="C29" s="13" t="n">
        <v>48</v>
      </c>
      <c r="D29" s="13"/>
      <c r="E29" s="14" t="n">
        <f aca="false">IFERROR(((INT(N(B29)/100)*60+MOD(N(B29),100))+(INT(N(C29)/100)*60+MOD(N(C29),100))+(INT(N(D29)/100)*60+MOD(N(D29),100)))/COUNT(B29:D29)/86400,"")</f>
        <v>0.000555555555555556</v>
      </c>
      <c r="F29" s="15" t="n">
        <f aca="false">IFERROR(N(F28)+N(E29),"")</f>
        <v>0.0192361111111111</v>
      </c>
    </row>
    <row r="30" customFormat="false" ht="15" hidden="false" customHeight="false" outlineLevel="0" collapsed="false">
      <c r="A30" s="3" t="s">
        <v>215</v>
      </c>
      <c r="B30" s="13"/>
      <c r="C30" s="13" t="n">
        <v>27</v>
      </c>
      <c r="D30" s="13"/>
      <c r="E30" s="14" t="n">
        <f aca="false">IFERROR(((INT(N(B30)/100)*60+MOD(N(B30),100))+(INT(N(C30)/100)*60+MOD(N(C30),100))+(INT(N(D30)/100)*60+MOD(N(D30),100)))/COUNT(B30:D30)/86400,"")</f>
        <v>0.0003125</v>
      </c>
      <c r="F30" s="15" t="n">
        <f aca="false">IFERROR(N(F29)+N(E30),"")</f>
        <v>0.0195486111111111</v>
      </c>
    </row>
    <row r="31" customFormat="false" ht="15" hidden="false" customHeight="false" outlineLevel="0" collapsed="false">
      <c r="A31" s="16" t="s">
        <v>130</v>
      </c>
      <c r="B31" s="13"/>
      <c r="C31" s="13" t="n">
        <v>105</v>
      </c>
      <c r="D31" s="13"/>
      <c r="E31" s="14" t="n">
        <f aca="false">IFERROR(((INT(N(B31)/100)*60+MOD(N(B31),100))+(INT(N(C31)/100)*60+MOD(N(C31),100))+(INT(N(D31)/100)*60+MOD(N(D31),100)))/COUNT(B31:D31)/86400,"")</f>
        <v>0.000752314814814815</v>
      </c>
      <c r="F31" s="15" t="n">
        <f aca="false">IFERROR(N(F30)+N(E31),"")</f>
        <v>0.0203009259259259</v>
      </c>
    </row>
    <row r="32" customFormat="false" ht="15" hidden="false" customHeight="false" outlineLevel="0" collapsed="false">
      <c r="A32" s="3" t="s">
        <v>131</v>
      </c>
      <c r="B32" s="13"/>
      <c r="C32" s="13" t="n">
        <v>30</v>
      </c>
      <c r="D32" s="13"/>
      <c r="E32" s="14" t="n">
        <f aca="false">IFERROR(((INT(N(B32)/100)*60+MOD(N(B32),100))+(INT(N(C32)/100)*60+MOD(N(C32),100))+(INT(N(D32)/100)*60+MOD(N(D32),100)))/COUNT(B32:D32)/86400,"")</f>
        <v>0.000347222222222222</v>
      </c>
      <c r="F32" s="15" t="n">
        <f aca="false">IFERROR(N(F31)+N(E32),"")</f>
        <v>0.0206481481481481</v>
      </c>
    </row>
    <row r="33" customFormat="false" ht="15" hidden="false" customHeight="false" outlineLevel="0" collapsed="false">
      <c r="A33" s="16" t="s">
        <v>216</v>
      </c>
      <c r="B33" s="13" t="n">
        <v>133</v>
      </c>
      <c r="C33" s="13" t="n">
        <v>131</v>
      </c>
      <c r="D33" s="13"/>
      <c r="E33" s="14" t="n">
        <f aca="false">IFERROR(((INT(N(B33)/100)*60+MOD(N(B33),100))+(INT(N(C33)/100)*60+MOD(N(C33),100))+(INT(N(D33)/100)*60+MOD(N(D33),100)))/COUNT(B33:D33)/86400,"")</f>
        <v>0.00106481481481481</v>
      </c>
      <c r="F33" s="15" t="n">
        <f aca="false">IFERROR(N(F32)+N(E33),"")</f>
        <v>0.021712962962963</v>
      </c>
    </row>
    <row r="34" customFormat="false" ht="15" hidden="false" customHeight="false" outlineLevel="0" collapsed="false">
      <c r="A34" s="3" t="s">
        <v>217</v>
      </c>
      <c r="B34" s="13" t="n">
        <v>31</v>
      </c>
      <c r="C34" s="13" t="n">
        <v>26</v>
      </c>
      <c r="D34" s="13"/>
      <c r="E34" s="14" t="n">
        <f aca="false">IFERROR(((INT(N(B34)/100)*60+MOD(N(B34),100))+(INT(N(C34)/100)*60+MOD(N(C34),100))+(INT(N(D34)/100)*60+MOD(N(D34),100)))/COUNT(B34:D34)/86400,"")</f>
        <v>0.000329861111111111</v>
      </c>
      <c r="F34" s="15" t="n">
        <f aca="false">IFERROR(N(F33)+N(E34),"")</f>
        <v>0.0220428240740741</v>
      </c>
    </row>
    <row r="35" customFormat="false" ht="15" hidden="false" customHeight="false" outlineLevel="0" collapsed="false">
      <c r="A35" s="16" t="s">
        <v>218</v>
      </c>
      <c r="B35" s="13" t="n">
        <v>108</v>
      </c>
      <c r="C35" s="13" t="n">
        <v>109</v>
      </c>
      <c r="D35" s="13"/>
      <c r="E35" s="14" t="n">
        <f aca="false">IFERROR(((INT(N(B35)/100)*60+MOD(N(B35),100))+(INT(N(C35)/100)*60+MOD(N(C35),100))+(INT(N(D35)/100)*60+MOD(N(D35),100)))/COUNT(B35:D35)/86400,"")</f>
        <v>0.000792824074074074</v>
      </c>
      <c r="F35" s="15" t="n">
        <f aca="false">IFERROR(N(F34)+N(E35),"")</f>
        <v>0.0228356481481481</v>
      </c>
    </row>
    <row r="36" customFormat="false" ht="15" hidden="false" customHeight="false" outlineLevel="0" collapsed="false">
      <c r="A36" s="3" t="s">
        <v>219</v>
      </c>
      <c r="B36" s="13" t="n">
        <v>40</v>
      </c>
      <c r="C36" s="13" t="n">
        <v>24</v>
      </c>
      <c r="D36" s="13"/>
      <c r="E36" s="14" t="n">
        <f aca="false">IFERROR(((INT(N(B36)/100)*60+MOD(N(B36),100))+(INT(N(C36)/100)*60+MOD(N(C36),100))+(INT(N(D36)/100)*60+MOD(N(D36),100)))/COUNT(B36:D36)/86400,"")</f>
        <v>0.00037037037037037</v>
      </c>
      <c r="F36" s="15" t="n">
        <f aca="false">IFERROR(N(F35)+N(E36),"")</f>
        <v>0.0232060185185185</v>
      </c>
    </row>
    <row r="37" customFormat="false" ht="15" hidden="false" customHeight="false" outlineLevel="0" collapsed="false">
      <c r="A37" s="16" t="s">
        <v>220</v>
      </c>
      <c r="B37" s="13" t="n">
        <v>155</v>
      </c>
      <c r="C37" s="13" t="n">
        <v>151</v>
      </c>
      <c r="D37" s="13"/>
      <c r="E37" s="14" t="n">
        <f aca="false">IFERROR(((INT(N(B37)/100)*60+MOD(N(B37),100))+(INT(N(C37)/100)*60+MOD(N(C37),100))+(INT(N(D37)/100)*60+MOD(N(D37),100)))/COUNT(B37:D37)/86400,"")</f>
        <v>0.00130787037037037</v>
      </c>
      <c r="F37" s="15" t="n">
        <f aca="false">IFERROR(N(F36)+N(E37),"")</f>
        <v>0.0245138888888889</v>
      </c>
    </row>
    <row r="38" customFormat="false" ht="15" hidden="false" customHeight="false" outlineLevel="0" collapsed="false">
      <c r="A38" s="3" t="s">
        <v>221</v>
      </c>
      <c r="B38" s="13" t="n">
        <v>35</v>
      </c>
      <c r="C38" s="13" t="n">
        <v>28</v>
      </c>
      <c r="D38" s="13"/>
      <c r="E38" s="14" t="n">
        <f aca="false">IFERROR(((INT(N(B38)/100)*60+MOD(N(B38),100))+(INT(N(C38)/100)*60+MOD(N(C38),100))+(INT(N(D38)/100)*60+MOD(N(D38),100)))/COUNT(B38:D38)/86400,"")</f>
        <v>0.000364583333333333</v>
      </c>
      <c r="F38" s="15" t="n">
        <f aca="false">IFERROR(N(F37)+N(E38),"")</f>
        <v>0.0248784722222222</v>
      </c>
    </row>
    <row r="39" customFormat="false" ht="15" hidden="false" customHeight="false" outlineLevel="0" collapsed="false">
      <c r="A39" s="16" t="s">
        <v>222</v>
      </c>
      <c r="B39" s="13" t="n">
        <v>207</v>
      </c>
      <c r="C39" s="13" t="n">
        <v>154</v>
      </c>
      <c r="D39" s="13"/>
      <c r="E39" s="14" t="n">
        <f aca="false">IFERROR(((INT(N(B39)/100)*60+MOD(N(B39),100))+(INT(N(C39)/100)*60+MOD(N(C39),100))+(INT(N(D39)/100)*60+MOD(N(D39),100)))/COUNT(B39:D39)/86400,"")</f>
        <v>0.00139467592592593</v>
      </c>
      <c r="F39" s="15" t="n">
        <f aca="false">IFERROR(N(F38)+N(E39),"")</f>
        <v>0.0262731481481482</v>
      </c>
    </row>
    <row r="40" customFormat="false" ht="15" hidden="false" customHeight="false" outlineLevel="0" collapsed="false">
      <c r="A40" s="3" t="s">
        <v>223</v>
      </c>
      <c r="B40" s="13" t="n">
        <v>30</v>
      </c>
      <c r="C40" s="13" t="n">
        <v>24</v>
      </c>
      <c r="D40" s="13"/>
      <c r="E40" s="14" t="n">
        <f aca="false">IFERROR(((INT(N(B40)/100)*60+MOD(N(B40),100))+(INT(N(C40)/100)*60+MOD(N(C40),100))+(INT(N(D40)/100)*60+MOD(N(D40),100)))/COUNT(B40:D40)/86400,"")</f>
        <v>0.0003125</v>
      </c>
      <c r="F40" s="15" t="n">
        <f aca="false">IFERROR(N(F39)+N(E40),"")</f>
        <v>0.0265856481481482</v>
      </c>
    </row>
    <row r="41" customFormat="false" ht="15" hidden="false" customHeight="false" outlineLevel="0" collapsed="false">
      <c r="A41" s="16" t="s">
        <v>224</v>
      </c>
      <c r="B41" s="13" t="n">
        <v>158</v>
      </c>
      <c r="C41" s="13" t="n">
        <v>151</v>
      </c>
      <c r="D41" s="13"/>
      <c r="E41" s="14" t="n">
        <f aca="false">IFERROR(((INT(N(B41)/100)*60+MOD(N(B41),100))+(INT(N(C41)/100)*60+MOD(N(C41),100))+(INT(N(D41)/100)*60+MOD(N(D41),100)))/COUNT(B41:D41)/86400,"")</f>
        <v>0.00132523148148148</v>
      </c>
      <c r="F41" s="15" t="n">
        <f aca="false">IFERROR(N(F40)+N(E41),"")</f>
        <v>0.0279108796296296</v>
      </c>
    </row>
    <row r="42" customFormat="false" ht="15" hidden="false" customHeight="false" outlineLevel="0" collapsed="false">
      <c r="A42" s="3" t="s">
        <v>225</v>
      </c>
      <c r="B42" s="13" t="n">
        <v>35</v>
      </c>
      <c r="C42" s="13" t="n">
        <v>34</v>
      </c>
      <c r="D42" s="13"/>
      <c r="E42" s="14" t="n">
        <f aca="false">IFERROR(((INT(N(B42)/100)*60+MOD(N(B42),100))+(INT(N(C42)/100)*60+MOD(N(C42),100))+(INT(N(D42)/100)*60+MOD(N(D42),100)))/COUNT(B42:D42)/86400,"")</f>
        <v>0.000399305555555556</v>
      </c>
      <c r="F42" s="15" t="n">
        <f aca="false">IFERROR(N(F41)+N(E42),"")</f>
        <v>0.0283101851851852</v>
      </c>
    </row>
    <row r="43" customFormat="false" ht="15" hidden="false" customHeight="false" outlineLevel="0" collapsed="false">
      <c r="A43" s="16" t="s">
        <v>226</v>
      </c>
      <c r="B43" s="13" t="n">
        <v>212</v>
      </c>
      <c r="C43" s="13" t="n">
        <v>201</v>
      </c>
      <c r="D43" s="13"/>
      <c r="E43" s="14" t="n">
        <f aca="false">IFERROR(((INT(N(B43)/100)*60+MOD(N(B43),100))+(INT(N(C43)/100)*60+MOD(N(C43),100))+(INT(N(D43)/100)*60+MOD(N(D43),100)))/COUNT(B43:D43)/86400,"")</f>
        <v>0.00146412037037037</v>
      </c>
      <c r="F43" s="15" t="n">
        <f aca="false">IFERROR(N(F42)+N(E43),"")</f>
        <v>0.0297743055555556</v>
      </c>
    </row>
    <row r="44" customFormat="false" ht="15" hidden="false" customHeight="false" outlineLevel="0" collapsed="false">
      <c r="A44" s="3" t="s">
        <v>227</v>
      </c>
      <c r="B44" s="13" t="n">
        <v>44</v>
      </c>
      <c r="C44" s="13" t="n">
        <v>36</v>
      </c>
      <c r="D44" s="13"/>
      <c r="E44" s="14" t="n">
        <f aca="false">IFERROR(((INT(N(B44)/100)*60+MOD(N(B44),100))+(INT(N(C44)/100)*60+MOD(N(C44),100))+(INT(N(D44)/100)*60+MOD(N(D44),100)))/COUNT(B44:D44)/86400,"")</f>
        <v>0.000462962962962963</v>
      </c>
      <c r="F44" s="15" t="n">
        <f aca="false">IFERROR(N(F43)+N(E44),"")</f>
        <v>0.0302372685185185</v>
      </c>
    </row>
    <row r="45" customFormat="false" ht="15" hidden="false" customHeight="false" outlineLevel="0" collapsed="false">
      <c r="A45" s="16" t="s">
        <v>228</v>
      </c>
      <c r="B45" s="13" t="n">
        <v>232</v>
      </c>
      <c r="C45" s="13" t="n">
        <v>225</v>
      </c>
      <c r="D45" s="13"/>
      <c r="E45" s="14" t="n">
        <f aca="false">IFERROR(((INT(N(B45)/100)*60+MOD(N(B45),100))+(INT(N(C45)/100)*60+MOD(N(C45),100))+(INT(N(D45)/100)*60+MOD(N(D45),100)))/COUNT(B45:D45)/86400,"")</f>
        <v>0.00171875</v>
      </c>
      <c r="F45" s="15" t="n">
        <f aca="false">IFERROR(N(F44)+N(E45),"")</f>
        <v>0.0319560185185185</v>
      </c>
    </row>
    <row r="46" customFormat="false" ht="15" hidden="false" customHeight="false" outlineLevel="0" collapsed="false">
      <c r="A46" s="3" t="s">
        <v>229</v>
      </c>
      <c r="B46" s="13" t="n">
        <v>45</v>
      </c>
      <c r="C46" s="13" t="n">
        <v>33</v>
      </c>
      <c r="D46" s="13"/>
      <c r="E46" s="14" t="n">
        <f aca="false">IFERROR(((INT(N(B46)/100)*60+MOD(N(B46),100))+(INT(N(C46)/100)*60+MOD(N(C46),100))+(INT(N(D46)/100)*60+MOD(N(D46),100)))/COUNT(B46:D46)/86400,"")</f>
        <v>0.000451388888888889</v>
      </c>
      <c r="F46" s="15" t="n">
        <f aca="false">IFERROR(N(F45)+N(E46),"")</f>
        <v>0.0324074074074074</v>
      </c>
    </row>
    <row r="47" customFormat="false" ht="15" hidden="false" customHeight="false" outlineLevel="0" collapsed="false">
      <c r="A47" s="16" t="s">
        <v>230</v>
      </c>
      <c r="B47" s="13" t="n">
        <v>324</v>
      </c>
      <c r="C47" s="13" t="n">
        <v>312</v>
      </c>
      <c r="D47" s="13"/>
      <c r="E47" s="14" t="n">
        <f aca="false">IFERROR(((INT(N(B47)/100)*60+MOD(N(B47),100))+(INT(N(C47)/100)*60+MOD(N(C47),100))+(INT(N(D47)/100)*60+MOD(N(D47),100)))/COUNT(B47:D47)/86400,"")</f>
        <v>0.00229166666666667</v>
      </c>
      <c r="F47" s="15" t="n">
        <f aca="false">IFERROR(N(F46)+N(E47),"")</f>
        <v>0.0346990740740741</v>
      </c>
    </row>
    <row r="48" customFormat="false" ht="15" hidden="false" customHeight="false" outlineLevel="0" collapsed="false">
      <c r="A48" s="3" t="s">
        <v>231</v>
      </c>
      <c r="B48" s="13"/>
      <c r="C48" s="13"/>
      <c r="D48" s="13"/>
      <c r="E48" s="14" t="str">
        <f aca="false">IFERROR(((INT(N(B48)/100)*60+MOD(N(B48),100))+(INT(N(C48)/100)*60+MOD(N(C48),100))+(INT(N(D48)/100)*60+MOD(N(D48),100)))/COUNT(B48:D48)/86400,"")</f>
        <v/>
      </c>
      <c r="F48" s="15" t="n">
        <f aca="false">IFERROR(N(F47)+N(E48),"")</f>
        <v>0.0346990740740741</v>
      </c>
    </row>
  </sheetData>
  <conditionalFormatting sqref="B8:D48">
    <cfRule type="expression" priority="2" aboveAverage="0" equalAverage="0" bottom="0" percent="0" rank="0" text="" dxfId="0">
      <formula>AND(B8&lt;&gt;"",MOD(B8,100)&gt;59)</formula>
    </cfRule>
  </conditionalFormatting>
  <dataValidations count="1">
    <dataValidation allowBlank="true" error="Type the stopwatch digits with no colon: 135 for 1 min 35 sec, 47 for 47 seconds. Max 1559." errorStyle="stop" errorTitle="Digits only" operator="between" showDropDown="false" showErrorMessage="true" showInputMessage="false" sqref="B8:D15 B16:B47 D16:D47 C17:C47 B48:D48" type="whole">
      <formula1>0</formula1>
      <formula2>1559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D100"/>
    <pageSetUpPr fitToPage="false"/>
  </sheetPr>
  <dimension ref="A1:I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C21" activeCellId="0" sqref="C21"/>
    </sheetView>
  </sheetViews>
  <sheetFormatPr defaultColWidth="8.71484375" defaultRowHeight="15" zeroHeight="false" outlineLevelRow="0" outlineLevelCol="0"/>
  <cols>
    <col collapsed="false" customWidth="true" hidden="false" outlineLevel="0" max="1" min="1" style="0" width="36"/>
    <col collapsed="false" customWidth="true" hidden="false" outlineLevel="0" max="4" min="2" style="0" width="10"/>
    <col collapsed="false" customWidth="true" hidden="false" outlineLevel="0" max="5" min="5" style="0" width="11"/>
    <col collapsed="false" customWidth="true" hidden="false" outlineLevel="0" max="6" min="6" style="0" width="13"/>
    <col collapsed="false" customWidth="true" hidden="false" outlineLevel="0" max="7" min="7" style="0" width="3"/>
    <col collapsed="false" customWidth="true" hidden="false" outlineLevel="0" max="8" min="8" style="0" width="21"/>
    <col collapsed="false" customWidth="true" hidden="false" outlineLevel="0" max="9" min="9" style="0" width="12"/>
  </cols>
  <sheetData>
    <row r="1" customFormat="false" ht="18" hidden="false" customHeight="true" outlineLevel="0" collapsed="false">
      <c r="A1" s="22" t="s">
        <v>232</v>
      </c>
    </row>
    <row r="2" customFormat="false" ht="15" hidden="false" customHeight="false" outlineLevel="0" collapsed="false">
      <c r="A2" s="7" t="s">
        <v>233</v>
      </c>
    </row>
    <row r="3" customFormat="false" ht="15" hidden="false" customHeight="false" outlineLevel="0" collapsed="false">
      <c r="A3" s="7" t="s">
        <v>35</v>
      </c>
      <c r="B3" s="8"/>
      <c r="C3" s="7" t="s">
        <v>36</v>
      </c>
      <c r="D3" s="8"/>
      <c r="E3" s="7" t="s">
        <v>37</v>
      </c>
      <c r="F3" s="8"/>
      <c r="H3" s="7" t="s">
        <v>22</v>
      </c>
      <c r="I3" s="3" t="n">
        <v>13</v>
      </c>
    </row>
    <row r="4" customFormat="false" ht="15" hidden="false" customHeight="false" outlineLevel="0" collapsed="false">
      <c r="H4" s="7" t="s">
        <v>38</v>
      </c>
      <c r="I4" s="3" t="n">
        <v>12</v>
      </c>
    </row>
    <row r="5" customFormat="false" ht="15" hidden="false" customHeight="false" outlineLevel="0" collapsed="false">
      <c r="H5" s="7" t="s">
        <v>39</v>
      </c>
      <c r="I5" s="3" t="n">
        <v>9</v>
      </c>
    </row>
    <row r="6" customFormat="false" ht="15" hidden="false" customHeight="false" outlineLevel="0" collapsed="false">
      <c r="B6" s="9" t="s">
        <v>40</v>
      </c>
      <c r="H6" s="7" t="s">
        <v>41</v>
      </c>
      <c r="I6" s="10" t="n">
        <f aca="false">IFERROR(SUM(E8:E32),"")</f>
        <v>0.0168865740740741</v>
      </c>
    </row>
    <row r="7" customFormat="false" ht="24" hidden="false" customHeight="true" outlineLevel="0" collapsed="false">
      <c r="A7" s="11" t="s">
        <v>42</v>
      </c>
      <c r="B7" s="12" t="s">
        <v>43</v>
      </c>
      <c r="C7" s="12" t="s">
        <v>44</v>
      </c>
      <c r="D7" s="12" t="s">
        <v>45</v>
      </c>
      <c r="E7" s="12" t="s">
        <v>46</v>
      </c>
      <c r="F7" s="12" t="s">
        <v>47</v>
      </c>
    </row>
    <row r="8" customFormat="false" ht="15" hidden="false" customHeight="false" outlineLevel="0" collapsed="false">
      <c r="A8" s="3" t="s">
        <v>234</v>
      </c>
      <c r="B8" s="13"/>
      <c r="C8" s="13"/>
      <c r="D8" s="13"/>
      <c r="E8" s="14" t="str">
        <f aca="false">IFERROR(((INT(N(B8)/100)*60+MOD(N(B8),100))+(INT(N(C8)/100)*60+MOD(N(C8),100))+(INT(N(D8)/100)*60+MOD(N(D8),100)))/COUNT(B8:D8)/86400,"")</f>
        <v/>
      </c>
      <c r="F8" s="15" t="str">
        <f aca="false">IFERROR(E8,"")</f>
        <v/>
      </c>
    </row>
    <row r="9" customFormat="false" ht="15" hidden="false" customHeight="false" outlineLevel="0" collapsed="false">
      <c r="A9" s="16" t="s">
        <v>235</v>
      </c>
      <c r="B9" s="13"/>
      <c r="C9" s="13"/>
      <c r="D9" s="13"/>
      <c r="E9" s="14" t="str">
        <f aca="false">IFERROR(((INT(N(B9)/100)*60+MOD(N(B9),100))+(INT(N(C9)/100)*60+MOD(N(C9),100))+(INT(N(D9)/100)*60+MOD(N(D9),100)))/COUNT(B9:D9)/86400,"")</f>
        <v/>
      </c>
      <c r="F9" s="15" t="n">
        <f aca="false">IFERROR(N(F8)+N(E9),"")</f>
        <v>0</v>
      </c>
    </row>
    <row r="10" customFormat="false" ht="15" hidden="false" customHeight="false" outlineLevel="0" collapsed="false">
      <c r="A10" s="3" t="s">
        <v>236</v>
      </c>
      <c r="B10" s="13"/>
      <c r="C10" s="13"/>
      <c r="D10" s="13"/>
      <c r="E10" s="14" t="str">
        <f aca="false">IFERROR(((INT(N(B10)/100)*60+MOD(N(B10),100))+(INT(N(C10)/100)*60+MOD(N(C10),100))+(INT(N(D10)/100)*60+MOD(N(D10),100)))/COUNT(B10:D10)/86400,"")</f>
        <v/>
      </c>
      <c r="F10" s="15" t="n">
        <f aca="false">IFERROR(N(F9)+N(E10),"")</f>
        <v>0</v>
      </c>
    </row>
    <row r="11" customFormat="false" ht="15" hidden="false" customHeight="false" outlineLevel="0" collapsed="false">
      <c r="A11" s="16" t="s">
        <v>157</v>
      </c>
      <c r="B11" s="13"/>
      <c r="C11" s="13"/>
      <c r="D11" s="13"/>
      <c r="E11" s="14" t="str">
        <f aca="false">IFERROR(((INT(N(B11)/100)*60+MOD(N(B11),100))+(INT(N(C11)/100)*60+MOD(N(C11),100))+(INT(N(D11)/100)*60+MOD(N(D11),100)))/COUNT(B11:D11)/86400,"")</f>
        <v/>
      </c>
      <c r="F11" s="15" t="n">
        <f aca="false">IFERROR(N(F10)+N(E11),"")</f>
        <v>0</v>
      </c>
    </row>
    <row r="12" customFormat="false" ht="15" hidden="false" customHeight="false" outlineLevel="0" collapsed="false">
      <c r="A12" s="3" t="s">
        <v>158</v>
      </c>
      <c r="B12" s="13" t="n">
        <v>28</v>
      </c>
      <c r="C12" s="13" t="n">
        <v>28</v>
      </c>
      <c r="D12" s="13"/>
      <c r="E12" s="14" t="n">
        <f aca="false">IFERROR(((INT(N(B12)/100)*60+MOD(N(B12),100))+(INT(N(C12)/100)*60+MOD(N(C12),100))+(INT(N(D12)/100)*60+MOD(N(D12),100)))/COUNT(B12:D12)/86400,"")</f>
        <v>0.000324074074074074</v>
      </c>
      <c r="F12" s="15" t="n">
        <f aca="false">IFERROR(N(F11)+N(E12),"")</f>
        <v>0.000324074074074074</v>
      </c>
    </row>
    <row r="13" customFormat="false" ht="15" hidden="false" customHeight="false" outlineLevel="0" collapsed="false">
      <c r="A13" s="19" t="s">
        <v>237</v>
      </c>
      <c r="B13" s="13" t="n">
        <v>120</v>
      </c>
      <c r="C13" s="13" t="n">
        <v>114</v>
      </c>
      <c r="D13" s="13"/>
      <c r="E13" s="14" t="n">
        <f aca="false">IFERROR(((INT(N(B13)/100)*60+MOD(N(B13),100))+(INT(N(C13)/100)*60+MOD(N(C13),100))+(INT(N(D13)/100)*60+MOD(N(D13),100)))/COUNT(B13:D13)/86400,"")</f>
        <v>0.000891203703703704</v>
      </c>
      <c r="F13" s="15" t="n">
        <f aca="false">IFERROR(N(F12)+N(E13),"")</f>
        <v>0.00121527777777778</v>
      </c>
    </row>
    <row r="14" customFormat="false" ht="15" hidden="false" customHeight="false" outlineLevel="0" collapsed="false">
      <c r="A14" s="3" t="s">
        <v>160</v>
      </c>
      <c r="B14" s="13" t="n">
        <v>20</v>
      </c>
      <c r="C14" s="13" t="n">
        <v>28</v>
      </c>
      <c r="D14" s="13"/>
      <c r="E14" s="14" t="n">
        <f aca="false">IFERROR(((INT(N(B14)/100)*60+MOD(N(B14),100))+(INT(N(C14)/100)*60+MOD(N(C14),100))+(INT(N(D14)/100)*60+MOD(N(D14),100)))/COUNT(B14:D14)/86400,"")</f>
        <v>0.000277777777777778</v>
      </c>
      <c r="F14" s="15" t="n">
        <f aca="false">IFERROR(N(F13)+N(E14),"")</f>
        <v>0.00149305555555556</v>
      </c>
    </row>
    <row r="15" customFormat="false" ht="15" hidden="false" customHeight="false" outlineLevel="0" collapsed="false">
      <c r="A15" s="19" t="s">
        <v>238</v>
      </c>
      <c r="B15" s="13" t="n">
        <v>212</v>
      </c>
      <c r="C15" s="13" t="n">
        <v>210</v>
      </c>
      <c r="D15" s="13"/>
      <c r="E15" s="14" t="n">
        <f aca="false">IFERROR(((INT(N(B15)/100)*60+MOD(N(B15),100))+(INT(N(C15)/100)*60+MOD(N(C15),100))+(INT(N(D15)/100)*60+MOD(N(D15),100)))/COUNT(B15:D15)/86400,"")</f>
        <v>0.0015162037037037</v>
      </c>
      <c r="F15" s="15" t="n">
        <f aca="false">IFERROR(N(F14)+N(E15),"")</f>
        <v>0.00300925925925926</v>
      </c>
    </row>
    <row r="16" customFormat="false" ht="15" hidden="false" customHeight="false" outlineLevel="0" collapsed="false">
      <c r="A16" s="3" t="s">
        <v>162</v>
      </c>
      <c r="B16" s="13" t="n">
        <v>33</v>
      </c>
      <c r="C16" s="13" t="n">
        <v>23</v>
      </c>
      <c r="D16" s="13"/>
      <c r="E16" s="14" t="n">
        <f aca="false">IFERROR(((INT(N(B16)/100)*60+MOD(N(B16),100))+(INT(N(C16)/100)*60+MOD(N(C16),100))+(INT(N(D16)/100)*60+MOD(N(D16),100)))/COUNT(B16:D16)/86400,"")</f>
        <v>0.000324074074074074</v>
      </c>
      <c r="F16" s="15" t="n">
        <f aca="false">IFERROR(N(F15)+N(E16),"")</f>
        <v>0.00333333333333333</v>
      </c>
    </row>
    <row r="17" customFormat="false" ht="15" hidden="false" customHeight="false" outlineLevel="0" collapsed="false">
      <c r="A17" s="19" t="s">
        <v>239</v>
      </c>
      <c r="B17" s="13" t="n">
        <v>256</v>
      </c>
      <c r="C17" s="13" t="n">
        <v>415</v>
      </c>
      <c r="D17" s="13"/>
      <c r="E17" s="14" t="n">
        <f aca="false">IFERROR(((INT(N(B17)/100)*60+MOD(N(B17),100))+(INT(N(C17)/100)*60+MOD(N(C17),100))+(INT(N(D17)/100)*60+MOD(N(D17),100)))/COUNT(B17:D17)/86400,"")</f>
        <v>0.00249421296296296</v>
      </c>
      <c r="F17" s="15" t="n">
        <f aca="false">IFERROR(N(F16)+N(E17),"")</f>
        <v>0.0058275462962963</v>
      </c>
    </row>
    <row r="18" customFormat="false" ht="15" hidden="false" customHeight="false" outlineLevel="0" collapsed="false">
      <c r="A18" s="3" t="s">
        <v>164</v>
      </c>
      <c r="B18" s="13" t="n">
        <v>44</v>
      </c>
      <c r="C18" s="13" t="n">
        <v>117</v>
      </c>
      <c r="D18" s="13"/>
      <c r="E18" s="14" t="n">
        <f aca="false">IFERROR(((INT(N(B18)/100)*60+MOD(N(B18),100))+(INT(N(C18)/100)*60+MOD(N(C18),100))+(INT(N(D18)/100)*60+MOD(N(D18),100)))/COUNT(B18:D18)/86400,"")</f>
        <v>0.000700231481481482</v>
      </c>
      <c r="F18" s="15" t="n">
        <f aca="false">IFERROR(N(F17)+N(E18),"")</f>
        <v>0.00652777777777778</v>
      </c>
    </row>
    <row r="19" customFormat="false" ht="15" hidden="false" customHeight="false" outlineLevel="0" collapsed="false">
      <c r="A19" s="19" t="s">
        <v>240</v>
      </c>
      <c r="B19" s="13" t="n">
        <v>111</v>
      </c>
      <c r="C19" s="13" t="n">
        <v>25</v>
      </c>
      <c r="D19" s="13"/>
      <c r="E19" s="14" t="n">
        <f aca="false">IFERROR(((INT(N(B19)/100)*60+MOD(N(B19),100))+(INT(N(C19)/100)*60+MOD(N(C19),100))+(INT(N(D19)/100)*60+MOD(N(D19),100)))/COUNT(B19:D19)/86400,"")</f>
        <v>0.000555555555555556</v>
      </c>
      <c r="F19" s="15" t="n">
        <f aca="false">IFERROR(N(F18)+N(E19),"")</f>
        <v>0.00708333333333333</v>
      </c>
    </row>
    <row r="20" customFormat="false" ht="15" hidden="false" customHeight="false" outlineLevel="0" collapsed="false">
      <c r="A20" s="3" t="s">
        <v>166</v>
      </c>
      <c r="B20" s="13" t="n">
        <v>17</v>
      </c>
      <c r="C20" s="13" t="n">
        <v>130</v>
      </c>
      <c r="D20" s="13"/>
      <c r="E20" s="14" t="n">
        <f aca="false">IFERROR(((INT(N(B20)/100)*60+MOD(N(B20),100))+(INT(N(C20)/100)*60+MOD(N(C20),100))+(INT(N(D20)/100)*60+MOD(N(D20),100)))/COUNT(B20:D20)/86400,"")</f>
        <v>0.000619212962962963</v>
      </c>
      <c r="F20" s="15" t="n">
        <f aca="false">IFERROR(N(F19)+N(E20),"")</f>
        <v>0.0077025462962963</v>
      </c>
    </row>
    <row r="21" customFormat="false" ht="15" hidden="false" customHeight="false" outlineLevel="0" collapsed="false">
      <c r="A21" s="19" t="s">
        <v>241</v>
      </c>
      <c r="B21" s="13" t="n">
        <v>122</v>
      </c>
      <c r="C21" s="13"/>
      <c r="D21" s="13"/>
      <c r="E21" s="14" t="n">
        <f aca="false">IFERROR(((INT(N(B21)/100)*60+MOD(N(B21),100))+(INT(N(C21)/100)*60+MOD(N(C21),100))+(INT(N(D21)/100)*60+MOD(N(D21),100)))/COUNT(B21:D21)/86400,"")</f>
        <v>0.000949074074074074</v>
      </c>
      <c r="F21" s="15" t="n">
        <f aca="false">IFERROR(N(F20)+N(E21),"")</f>
        <v>0.00865162037037037</v>
      </c>
    </row>
    <row r="22" customFormat="false" ht="15" hidden="false" customHeight="false" outlineLevel="0" collapsed="false">
      <c r="A22" s="3" t="s">
        <v>168</v>
      </c>
      <c r="B22" s="13"/>
      <c r="C22" s="13" t="n">
        <v>24</v>
      </c>
      <c r="D22" s="13"/>
      <c r="E22" s="14" t="n">
        <f aca="false">IFERROR(((INT(N(B22)/100)*60+MOD(N(B22),100))+(INT(N(C22)/100)*60+MOD(N(C22),100))+(INT(N(D22)/100)*60+MOD(N(D22),100)))/COUNT(B22:D22)/86400,"")</f>
        <v>0.000277777777777778</v>
      </c>
      <c r="F22" s="15" t="n">
        <f aca="false">IFERROR(N(F21)+N(E22),"")</f>
        <v>0.00892939814814815</v>
      </c>
    </row>
    <row r="23" customFormat="false" ht="15" hidden="false" customHeight="false" outlineLevel="0" collapsed="false">
      <c r="A23" s="19" t="s">
        <v>242</v>
      </c>
      <c r="B23" s="13"/>
      <c r="C23" s="13" t="n">
        <v>131</v>
      </c>
      <c r="D23" s="13"/>
      <c r="E23" s="14" t="n">
        <f aca="false">IFERROR(((INT(N(B23)/100)*60+MOD(N(B23),100))+(INT(N(C23)/100)*60+MOD(N(C23),100))+(INT(N(D23)/100)*60+MOD(N(D23),100)))/COUNT(B23:D23)/86400,"")</f>
        <v>0.00105324074074074</v>
      </c>
      <c r="F23" s="15" t="n">
        <f aca="false">IFERROR(N(F22)+N(E23),"")</f>
        <v>0.00998263888888889</v>
      </c>
    </row>
    <row r="24" customFormat="false" ht="15" hidden="false" customHeight="false" outlineLevel="0" collapsed="false">
      <c r="A24" s="3" t="s">
        <v>170</v>
      </c>
      <c r="B24" s="13"/>
      <c r="C24" s="13" t="n">
        <v>19</v>
      </c>
      <c r="D24" s="13"/>
      <c r="E24" s="14" t="n">
        <f aca="false">IFERROR(((INT(N(B24)/100)*60+MOD(N(B24),100))+(INT(N(C24)/100)*60+MOD(N(C24),100))+(INT(N(D24)/100)*60+MOD(N(D24),100)))/COUNT(B24:D24)/86400,"")</f>
        <v>0.000219907407407407</v>
      </c>
      <c r="F24" s="15" t="n">
        <f aca="false">IFERROR(N(F23)+N(E24),"")</f>
        <v>0.0102025462962963</v>
      </c>
    </row>
    <row r="25" customFormat="false" ht="15" hidden="false" customHeight="false" outlineLevel="0" collapsed="false">
      <c r="A25" s="16" t="s">
        <v>130</v>
      </c>
      <c r="B25" s="13" t="n">
        <v>410</v>
      </c>
      <c r="C25" s="13" t="n">
        <v>505</v>
      </c>
      <c r="D25" s="13"/>
      <c r="E25" s="14" t="n">
        <f aca="false">IFERROR(((INT(N(B25)/100)*60+MOD(N(B25),100))+(INT(N(C25)/100)*60+MOD(N(C25),100))+(INT(N(D25)/100)*60+MOD(N(D25),100)))/COUNT(B25:D25)/86400,"")</f>
        <v>0.00321180555555556</v>
      </c>
      <c r="F25" s="15" t="n">
        <f aca="false">IFERROR(N(F24)+N(E25),"")</f>
        <v>0.0134143518518519</v>
      </c>
    </row>
    <row r="26" customFormat="false" ht="15" hidden="false" customHeight="false" outlineLevel="0" collapsed="false">
      <c r="A26" s="3" t="s">
        <v>131</v>
      </c>
      <c r="B26" s="13" t="n">
        <v>24</v>
      </c>
      <c r="C26" s="13"/>
      <c r="D26" s="13"/>
      <c r="E26" s="14" t="n">
        <f aca="false">IFERROR(((INT(N(B26)/100)*60+MOD(N(B26),100))+(INT(N(C26)/100)*60+MOD(N(C26),100))+(INT(N(D26)/100)*60+MOD(N(D26),100)))/COUNT(B26:D26)/86400,"")</f>
        <v>0.000277777777777778</v>
      </c>
      <c r="F26" s="15" t="n">
        <f aca="false">IFERROR(N(F25)+N(E26),"")</f>
        <v>0.0136921296296296</v>
      </c>
    </row>
    <row r="27" customFormat="false" ht="15" hidden="false" customHeight="false" outlineLevel="0" collapsed="false">
      <c r="A27" s="19" t="s">
        <v>243</v>
      </c>
      <c r="B27" s="13" t="n">
        <v>109</v>
      </c>
      <c r="C27" s="13"/>
      <c r="D27" s="13"/>
      <c r="E27" s="14" t="n">
        <f aca="false">IFERROR(((INT(N(B27)/100)*60+MOD(N(B27),100))+(INT(N(C27)/100)*60+MOD(N(C27),100))+(INT(N(D27)/100)*60+MOD(N(D27),100)))/COUNT(B27:D27)/86400,"")</f>
        <v>0.000798611111111111</v>
      </c>
      <c r="F27" s="15" t="n">
        <f aca="false">IFERROR(N(F26)+N(E27),"")</f>
        <v>0.0144907407407407</v>
      </c>
    </row>
    <row r="28" customFormat="false" ht="15" hidden="false" customHeight="false" outlineLevel="0" collapsed="false">
      <c r="A28" s="3" t="s">
        <v>215</v>
      </c>
      <c r="B28" s="13" t="n">
        <v>27</v>
      </c>
      <c r="C28" s="13"/>
      <c r="D28" s="13"/>
      <c r="E28" s="14" t="n">
        <f aca="false">IFERROR(((INT(N(B28)/100)*60+MOD(N(B28),100))+(INT(N(C28)/100)*60+MOD(N(C28),100))+(INT(N(D28)/100)*60+MOD(N(D28),100)))/COUNT(B28:D28)/86400,"")</f>
        <v>0.0003125</v>
      </c>
      <c r="F28" s="15" t="n">
        <f aca="false">IFERROR(N(F27)+N(E28),"")</f>
        <v>0.0148032407407407</v>
      </c>
    </row>
    <row r="29" customFormat="false" ht="15" hidden="false" customHeight="false" outlineLevel="0" collapsed="false">
      <c r="A29" s="19" t="s">
        <v>244</v>
      </c>
      <c r="B29" s="13" t="n">
        <v>57</v>
      </c>
      <c r="C29" s="13"/>
      <c r="D29" s="13"/>
      <c r="E29" s="14" t="n">
        <f aca="false">IFERROR(((INT(N(B29)/100)*60+MOD(N(B29),100))+(INT(N(C29)/100)*60+MOD(N(C29),100))+(INT(N(D29)/100)*60+MOD(N(D29),100)))/COUNT(B29:D29)/86400,"")</f>
        <v>0.000659722222222222</v>
      </c>
      <c r="F29" s="15" t="n">
        <f aca="false">IFERROR(N(F28)+N(E29),"")</f>
        <v>0.015462962962963</v>
      </c>
    </row>
    <row r="30" customFormat="false" ht="15" hidden="false" customHeight="false" outlineLevel="0" collapsed="false">
      <c r="A30" s="3" t="s">
        <v>78</v>
      </c>
      <c r="B30" s="13"/>
      <c r="C30" s="13" t="n">
        <v>34</v>
      </c>
      <c r="D30" s="13"/>
      <c r="E30" s="14" t="n">
        <f aca="false">IFERROR(((INT(N(B30)/100)*60+MOD(N(B30),100))+(INT(N(C30)/100)*60+MOD(N(C30),100))+(INT(N(D30)/100)*60+MOD(N(D30),100)))/COUNT(B30:D30)/86400,"")</f>
        <v>0.000393518518518519</v>
      </c>
      <c r="F30" s="15" t="n">
        <f aca="false">IFERROR(N(F29)+N(E30),"")</f>
        <v>0.0158564814814815</v>
      </c>
    </row>
    <row r="31" customFormat="false" ht="15" hidden="false" customHeight="false" outlineLevel="0" collapsed="false">
      <c r="A31" s="19" t="s">
        <v>245</v>
      </c>
      <c r="B31" s="13"/>
      <c r="C31" s="13" t="n">
        <v>103</v>
      </c>
      <c r="D31" s="13"/>
      <c r="E31" s="14" t="n">
        <f aca="false">IFERROR(((INT(N(B31)/100)*60+MOD(N(B31),100))+(INT(N(C31)/100)*60+MOD(N(C31),100))+(INT(N(D31)/100)*60+MOD(N(D31),100)))/COUNT(B31:D31)/86400,"")</f>
        <v>0.000729166666666667</v>
      </c>
      <c r="F31" s="15" t="n">
        <f aca="false">IFERROR(N(F30)+N(E31),"")</f>
        <v>0.0165856481481481</v>
      </c>
    </row>
    <row r="32" customFormat="false" ht="15" hidden="false" customHeight="false" outlineLevel="0" collapsed="false">
      <c r="A32" s="3" t="s">
        <v>213</v>
      </c>
      <c r="B32" s="13"/>
      <c r="C32" s="13" t="n">
        <v>26</v>
      </c>
      <c r="D32" s="13"/>
      <c r="E32" s="14" t="n">
        <f aca="false">IFERROR(((INT(N(B32)/100)*60+MOD(N(B32),100))+(INT(N(C32)/100)*60+MOD(N(C32),100))+(INT(N(D32)/100)*60+MOD(N(D32),100)))/COUNT(B32:D32)/86400,"")</f>
        <v>0.000300925925925926</v>
      </c>
      <c r="F32" s="15" t="n">
        <f aca="false">IFERROR(N(F31)+N(E32),"")</f>
        <v>0.0168865740740741</v>
      </c>
    </row>
  </sheetData>
  <conditionalFormatting sqref="B8:D32">
    <cfRule type="expression" priority="2" aboveAverage="0" equalAverage="0" bottom="0" percent="0" rank="0" text="" dxfId="0">
      <formula>AND(B8&lt;&gt;"",MOD(B8,100)&gt;59)</formula>
    </cfRule>
  </conditionalFormatting>
  <dataValidations count="1">
    <dataValidation allowBlank="true" error="Type the stopwatch digits with no colon: 135 for 1 min 35 sec, 47 for 47 seconds. Max 1559." errorStyle="stop" errorTitle="Digits only" operator="between" showDropDown="false" showErrorMessage="true" showInputMessage="false" sqref="B8:D32" type="whole">
      <formula1>0</formula1>
      <formula2>1559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19D9D"/>
    <pageSetUpPr fitToPage="false"/>
  </sheetPr>
  <dimension ref="A1:I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71484375" defaultRowHeight="15" zeroHeight="false" outlineLevelRow="0" outlineLevelCol="0"/>
  <cols>
    <col collapsed="false" customWidth="true" hidden="false" outlineLevel="0" max="1" min="1" style="0" width="36"/>
    <col collapsed="false" customWidth="true" hidden="false" outlineLevel="0" max="4" min="2" style="0" width="10"/>
    <col collapsed="false" customWidth="true" hidden="false" outlineLevel="0" max="5" min="5" style="0" width="11"/>
    <col collapsed="false" customWidth="true" hidden="false" outlineLevel="0" max="6" min="6" style="0" width="13"/>
    <col collapsed="false" customWidth="true" hidden="false" outlineLevel="0" max="7" min="7" style="0" width="3"/>
    <col collapsed="false" customWidth="true" hidden="false" outlineLevel="0" max="8" min="8" style="0" width="21"/>
    <col collapsed="false" customWidth="true" hidden="false" outlineLevel="0" max="9" min="9" style="0" width="12"/>
  </cols>
  <sheetData>
    <row r="1" customFormat="false" ht="18" hidden="false" customHeight="true" outlineLevel="0" collapsed="false">
      <c r="A1" s="23" t="s">
        <v>246</v>
      </c>
    </row>
    <row r="2" customFormat="false" ht="15" hidden="false" customHeight="false" outlineLevel="0" collapsed="false">
      <c r="A2" s="7" t="s">
        <v>247</v>
      </c>
    </row>
    <row r="3" customFormat="false" ht="15" hidden="false" customHeight="false" outlineLevel="0" collapsed="false">
      <c r="A3" s="7" t="s">
        <v>35</v>
      </c>
      <c r="B3" s="8"/>
      <c r="C3" s="7" t="s">
        <v>36</v>
      </c>
      <c r="D3" s="8"/>
      <c r="E3" s="7" t="s">
        <v>37</v>
      </c>
      <c r="F3" s="8"/>
      <c r="H3" s="7" t="s">
        <v>22</v>
      </c>
      <c r="I3" s="3" t="n">
        <v>34</v>
      </c>
    </row>
    <row r="4" customFormat="false" ht="15" hidden="false" customHeight="false" outlineLevel="0" collapsed="false">
      <c r="H4" s="7" t="s">
        <v>38</v>
      </c>
      <c r="I4" s="3" t="n">
        <v>33</v>
      </c>
    </row>
    <row r="5" customFormat="false" ht="15" hidden="false" customHeight="false" outlineLevel="0" collapsed="false">
      <c r="H5" s="7" t="s">
        <v>39</v>
      </c>
      <c r="I5" s="3" t="n">
        <v>22</v>
      </c>
    </row>
    <row r="6" customFormat="false" ht="15" hidden="false" customHeight="false" outlineLevel="0" collapsed="false">
      <c r="B6" s="9" t="s">
        <v>40</v>
      </c>
      <c r="H6" s="7" t="s">
        <v>41</v>
      </c>
      <c r="I6" s="10" t="n">
        <f aca="false">IFERROR(SUM(E8:E74),"")</f>
        <v>0.0349131944444445</v>
      </c>
    </row>
    <row r="7" customFormat="false" ht="24" hidden="false" customHeight="true" outlineLevel="0" collapsed="false">
      <c r="A7" s="11" t="s">
        <v>42</v>
      </c>
      <c r="B7" s="12" t="s">
        <v>43</v>
      </c>
      <c r="C7" s="12" t="s">
        <v>44</v>
      </c>
      <c r="D7" s="12" t="s">
        <v>45</v>
      </c>
      <c r="E7" s="12" t="s">
        <v>46</v>
      </c>
      <c r="F7" s="12" t="s">
        <v>47</v>
      </c>
    </row>
    <row r="8" customFormat="false" ht="15" hidden="false" customHeight="false" outlineLevel="0" collapsed="false">
      <c r="A8" s="3" t="s">
        <v>248</v>
      </c>
      <c r="B8" s="13"/>
      <c r="C8" s="13"/>
      <c r="D8" s="13"/>
      <c r="E8" s="14" t="str">
        <f aca="false">IFERROR(((INT(N(B8)/100)*60+MOD(N(B8),100))+(INT(N(C8)/100)*60+MOD(N(C8),100))+(INT(N(D8)/100)*60+MOD(N(D8),100)))/COUNT(B8:D8)/86400,"")</f>
        <v/>
      </c>
      <c r="F8" s="15" t="str">
        <f aca="false">IFERROR(E8,"")</f>
        <v/>
      </c>
    </row>
    <row r="9" customFormat="false" ht="15" hidden="false" customHeight="false" outlineLevel="0" collapsed="false">
      <c r="A9" s="16" t="s">
        <v>249</v>
      </c>
      <c r="B9" s="13"/>
      <c r="C9" s="13"/>
      <c r="D9" s="13"/>
      <c r="E9" s="14" t="str">
        <f aca="false">IFERROR(((INT(N(B9)/100)*60+MOD(N(B9),100))+(INT(N(C9)/100)*60+MOD(N(C9),100))+(INT(N(D9)/100)*60+MOD(N(D9),100)))/COUNT(B9:D9)/86400,"")</f>
        <v/>
      </c>
      <c r="F9" s="15" t="n">
        <f aca="false">IFERROR(N(F8)+N(E9),"")</f>
        <v>0</v>
      </c>
    </row>
    <row r="10" customFormat="false" ht="15" hidden="false" customHeight="false" outlineLevel="0" collapsed="false">
      <c r="A10" s="3" t="s">
        <v>250</v>
      </c>
      <c r="B10" s="13"/>
      <c r="C10" s="13"/>
      <c r="D10" s="13"/>
      <c r="E10" s="14" t="str">
        <f aca="false">IFERROR(((INT(N(B10)/100)*60+MOD(N(B10),100))+(INT(N(C10)/100)*60+MOD(N(C10),100))+(INT(N(D10)/100)*60+MOD(N(D10),100)))/COUNT(B10:D10)/86400,"")</f>
        <v/>
      </c>
      <c r="F10" s="15" t="n">
        <f aca="false">IFERROR(N(F9)+N(E10),"")</f>
        <v>0</v>
      </c>
    </row>
    <row r="11" customFormat="false" ht="15" hidden="false" customHeight="false" outlineLevel="0" collapsed="false">
      <c r="A11" s="16" t="s">
        <v>251</v>
      </c>
      <c r="B11" s="13"/>
      <c r="C11" s="13"/>
      <c r="D11" s="13"/>
      <c r="E11" s="14" t="str">
        <f aca="false">IFERROR(((INT(N(B11)/100)*60+MOD(N(B11),100))+(INT(N(C11)/100)*60+MOD(N(C11),100))+(INT(N(D11)/100)*60+MOD(N(D11),100)))/COUNT(B11:D11)/86400,"")</f>
        <v/>
      </c>
      <c r="F11" s="15" t="n">
        <f aca="false">IFERROR(N(F10)+N(E11),"")</f>
        <v>0</v>
      </c>
    </row>
    <row r="12" customFormat="false" ht="15" hidden="false" customHeight="false" outlineLevel="0" collapsed="false">
      <c r="A12" s="3" t="s">
        <v>252</v>
      </c>
      <c r="B12" s="13"/>
      <c r="C12" s="13"/>
      <c r="D12" s="13"/>
      <c r="E12" s="14" t="str">
        <f aca="false">IFERROR(((INT(N(B12)/100)*60+MOD(N(B12),100))+(INT(N(C12)/100)*60+MOD(N(C12),100))+(INT(N(D12)/100)*60+MOD(N(D12),100)))/COUNT(B12:D12)/86400,"")</f>
        <v/>
      </c>
      <c r="F12" s="15" t="n">
        <f aca="false">IFERROR(N(F11)+N(E12),"")</f>
        <v>0</v>
      </c>
    </row>
    <row r="13" customFormat="false" ht="15" hidden="false" customHeight="false" outlineLevel="0" collapsed="false">
      <c r="A13" s="16" t="s">
        <v>253</v>
      </c>
      <c r="B13" s="13"/>
      <c r="C13" s="13"/>
      <c r="D13" s="13"/>
      <c r="E13" s="14" t="str">
        <f aca="false">IFERROR(((INT(N(B13)/100)*60+MOD(N(B13),100))+(INT(N(C13)/100)*60+MOD(N(C13),100))+(INT(N(D13)/100)*60+MOD(N(D13),100)))/COUNT(B13:D13)/86400,"")</f>
        <v/>
      </c>
      <c r="F13" s="15" t="n">
        <f aca="false">IFERROR(N(F12)+N(E13),"")</f>
        <v>0</v>
      </c>
    </row>
    <row r="14" customFormat="false" ht="15" hidden="false" customHeight="false" outlineLevel="0" collapsed="false">
      <c r="A14" s="3" t="s">
        <v>254</v>
      </c>
      <c r="B14" s="13"/>
      <c r="C14" s="13"/>
      <c r="D14" s="13"/>
      <c r="E14" s="14" t="str">
        <f aca="false">IFERROR(((INT(N(B14)/100)*60+MOD(N(B14),100))+(INT(N(C14)/100)*60+MOD(N(C14),100))+(INT(N(D14)/100)*60+MOD(N(D14),100)))/COUNT(B14:D14)/86400,"")</f>
        <v/>
      </c>
      <c r="F14" s="15" t="n">
        <f aca="false">IFERROR(N(F13)+N(E14),"")</f>
        <v>0</v>
      </c>
    </row>
    <row r="15" customFormat="false" ht="15" hidden="false" customHeight="false" outlineLevel="0" collapsed="false">
      <c r="A15" s="16" t="s">
        <v>255</v>
      </c>
      <c r="B15" s="13"/>
      <c r="C15" s="13"/>
      <c r="D15" s="13"/>
      <c r="E15" s="14" t="str">
        <f aca="false">IFERROR(((INT(N(B15)/100)*60+MOD(N(B15),100))+(INT(N(C15)/100)*60+MOD(N(C15),100))+(INT(N(D15)/100)*60+MOD(N(D15),100)))/COUNT(B15:D15)/86400,"")</f>
        <v/>
      </c>
      <c r="F15" s="15" t="n">
        <f aca="false">IFERROR(N(F14)+N(E15),"")</f>
        <v>0</v>
      </c>
    </row>
    <row r="16" customFormat="false" ht="15" hidden="false" customHeight="false" outlineLevel="0" collapsed="false">
      <c r="A16" s="3" t="s">
        <v>256</v>
      </c>
      <c r="B16" s="13"/>
      <c r="C16" s="13"/>
      <c r="D16" s="13"/>
      <c r="E16" s="14" t="str">
        <f aca="false">IFERROR(((INT(N(B16)/100)*60+MOD(N(B16),100))+(INT(N(C16)/100)*60+MOD(N(C16),100))+(INT(N(D16)/100)*60+MOD(N(D16),100)))/COUNT(B16:D16)/86400,"")</f>
        <v/>
      </c>
      <c r="F16" s="15" t="n">
        <f aca="false">IFERROR(N(F15)+N(E16),"")</f>
        <v>0</v>
      </c>
    </row>
    <row r="17" customFormat="false" ht="15" hidden="false" customHeight="false" outlineLevel="0" collapsed="false">
      <c r="A17" s="16" t="s">
        <v>257</v>
      </c>
      <c r="B17" s="13"/>
      <c r="C17" s="13"/>
      <c r="D17" s="13"/>
      <c r="E17" s="14" t="str">
        <f aca="false">IFERROR(((INT(N(B17)/100)*60+MOD(N(B17),100))+(INT(N(C17)/100)*60+MOD(N(C17),100))+(INT(N(D17)/100)*60+MOD(N(D17),100)))/COUNT(B17:D17)/86400,"")</f>
        <v/>
      </c>
      <c r="F17" s="15" t="n">
        <f aca="false">IFERROR(N(F16)+N(E17),"")</f>
        <v>0</v>
      </c>
    </row>
    <row r="18" customFormat="false" ht="15" hidden="false" customHeight="false" outlineLevel="0" collapsed="false">
      <c r="A18" s="3" t="s">
        <v>258</v>
      </c>
      <c r="B18" s="13"/>
      <c r="C18" s="13"/>
      <c r="D18" s="13"/>
      <c r="E18" s="14" t="str">
        <f aca="false">IFERROR(((INT(N(B18)/100)*60+MOD(N(B18),100))+(INT(N(C18)/100)*60+MOD(N(C18),100))+(INT(N(D18)/100)*60+MOD(N(D18),100)))/COUNT(B18:D18)/86400,"")</f>
        <v/>
      </c>
      <c r="F18" s="15" t="n">
        <f aca="false">IFERROR(N(F17)+N(E18),"")</f>
        <v>0</v>
      </c>
    </row>
    <row r="19" customFormat="false" ht="15" hidden="false" customHeight="false" outlineLevel="0" collapsed="false">
      <c r="A19" s="16" t="s">
        <v>259</v>
      </c>
      <c r="B19" s="13"/>
      <c r="C19" s="13"/>
      <c r="D19" s="13"/>
      <c r="E19" s="14" t="str">
        <f aca="false">IFERROR(((INT(N(B19)/100)*60+MOD(N(B19),100))+(INT(N(C19)/100)*60+MOD(N(C19),100))+(INT(N(D19)/100)*60+MOD(N(D19),100)))/COUNT(B19:D19)/86400,"")</f>
        <v/>
      </c>
      <c r="F19" s="15" t="n">
        <f aca="false">IFERROR(N(F18)+N(E19),"")</f>
        <v>0</v>
      </c>
    </row>
    <row r="20" customFormat="false" ht="15" hidden="false" customHeight="false" outlineLevel="0" collapsed="false">
      <c r="A20" s="3" t="s">
        <v>260</v>
      </c>
      <c r="B20" s="13"/>
      <c r="C20" s="13"/>
      <c r="D20" s="13"/>
      <c r="E20" s="14" t="str">
        <f aca="false">IFERROR(((INT(N(B20)/100)*60+MOD(N(B20),100))+(INT(N(C20)/100)*60+MOD(N(C20),100))+(INT(N(D20)/100)*60+MOD(N(D20),100)))/COUNT(B20:D20)/86400,"")</f>
        <v/>
      </c>
      <c r="F20" s="15" t="n">
        <f aca="false">IFERROR(N(F19)+N(E20),"")</f>
        <v>0</v>
      </c>
    </row>
    <row r="21" customFormat="false" ht="15" hidden="false" customHeight="false" outlineLevel="0" collapsed="false">
      <c r="A21" s="16" t="s">
        <v>261</v>
      </c>
      <c r="B21" s="13"/>
      <c r="C21" s="13"/>
      <c r="D21" s="13"/>
      <c r="E21" s="14" t="str">
        <f aca="false">IFERROR(((INT(N(B21)/100)*60+MOD(N(B21),100))+(INT(N(C21)/100)*60+MOD(N(C21),100))+(INT(N(D21)/100)*60+MOD(N(D21),100)))/COUNT(B21:D21)/86400,"")</f>
        <v/>
      </c>
      <c r="F21" s="15" t="n">
        <f aca="false">IFERROR(N(F20)+N(E21),"")</f>
        <v>0</v>
      </c>
    </row>
    <row r="22" customFormat="false" ht="15" hidden="false" customHeight="false" outlineLevel="0" collapsed="false">
      <c r="A22" s="3" t="s">
        <v>262</v>
      </c>
      <c r="B22" s="13"/>
      <c r="C22" s="13"/>
      <c r="D22" s="13"/>
      <c r="E22" s="14" t="str">
        <f aca="false">IFERROR(((INT(N(B22)/100)*60+MOD(N(B22),100))+(INT(N(C22)/100)*60+MOD(N(C22),100))+(INT(N(D22)/100)*60+MOD(N(D22),100)))/COUNT(B22:D22)/86400,"")</f>
        <v/>
      </c>
      <c r="F22" s="15" t="n">
        <f aca="false">IFERROR(N(F21)+N(E22),"")</f>
        <v>0</v>
      </c>
    </row>
    <row r="23" customFormat="false" ht="15" hidden="false" customHeight="false" outlineLevel="0" collapsed="false">
      <c r="A23" s="16" t="s">
        <v>263</v>
      </c>
      <c r="B23" s="13"/>
      <c r="C23" s="13"/>
      <c r="D23" s="13"/>
      <c r="E23" s="14" t="str">
        <f aca="false">IFERROR(((INT(N(B23)/100)*60+MOD(N(B23),100))+(INT(N(C23)/100)*60+MOD(N(C23),100))+(INT(N(D23)/100)*60+MOD(N(D23),100)))/COUNT(B23:D23)/86400,"")</f>
        <v/>
      </c>
      <c r="F23" s="15" t="n">
        <f aca="false">IFERROR(N(F22)+N(E23),"")</f>
        <v>0</v>
      </c>
    </row>
    <row r="24" customFormat="false" ht="15" hidden="false" customHeight="false" outlineLevel="0" collapsed="false">
      <c r="A24" s="3" t="s">
        <v>264</v>
      </c>
      <c r="B24" s="13"/>
      <c r="C24" s="13"/>
      <c r="D24" s="13"/>
      <c r="E24" s="14" t="str">
        <f aca="false">IFERROR(((INT(N(B24)/100)*60+MOD(N(B24),100))+(INT(N(C24)/100)*60+MOD(N(C24),100))+(INT(N(D24)/100)*60+MOD(N(D24),100)))/COUNT(B24:D24)/86400,"")</f>
        <v/>
      </c>
      <c r="F24" s="15" t="n">
        <f aca="false">IFERROR(N(F23)+N(E24),"")</f>
        <v>0</v>
      </c>
    </row>
    <row r="25" customFormat="false" ht="15" hidden="false" customHeight="false" outlineLevel="0" collapsed="false">
      <c r="A25" s="16" t="s">
        <v>265</v>
      </c>
      <c r="B25" s="13"/>
      <c r="C25" s="13"/>
      <c r="D25" s="13"/>
      <c r="E25" s="14" t="str">
        <f aca="false">IFERROR(((INT(N(B25)/100)*60+MOD(N(B25),100))+(INT(N(C25)/100)*60+MOD(N(C25),100))+(INT(N(D25)/100)*60+MOD(N(D25),100)))/COUNT(B25:D25)/86400,"")</f>
        <v/>
      </c>
      <c r="F25" s="15" t="n">
        <f aca="false">IFERROR(N(F24)+N(E25),"")</f>
        <v>0</v>
      </c>
    </row>
    <row r="26" customFormat="false" ht="15" hidden="false" customHeight="false" outlineLevel="0" collapsed="false">
      <c r="A26" s="3" t="s">
        <v>266</v>
      </c>
      <c r="B26" s="13"/>
      <c r="C26" s="13"/>
      <c r="D26" s="13"/>
      <c r="E26" s="14" t="str">
        <f aca="false">IFERROR(((INT(N(B26)/100)*60+MOD(N(B26),100))+(INT(N(C26)/100)*60+MOD(N(C26),100))+(INT(N(D26)/100)*60+MOD(N(D26),100)))/COUNT(B26:D26)/86400,"")</f>
        <v/>
      </c>
      <c r="F26" s="15" t="n">
        <f aca="false">IFERROR(N(F25)+N(E26),"")</f>
        <v>0</v>
      </c>
    </row>
    <row r="27" customFormat="false" ht="15" hidden="false" customHeight="false" outlineLevel="0" collapsed="false">
      <c r="A27" s="16" t="s">
        <v>267</v>
      </c>
      <c r="B27" s="13"/>
      <c r="C27" s="13"/>
      <c r="D27" s="13"/>
      <c r="E27" s="14" t="str">
        <f aca="false">IFERROR(((INT(N(B27)/100)*60+MOD(N(B27),100))+(INT(N(C27)/100)*60+MOD(N(C27),100))+(INT(N(D27)/100)*60+MOD(N(D27),100)))/COUNT(B27:D27)/86400,"")</f>
        <v/>
      </c>
      <c r="F27" s="15" t="n">
        <f aca="false">IFERROR(N(F26)+N(E27),"")</f>
        <v>0</v>
      </c>
    </row>
    <row r="28" customFormat="false" ht="15" hidden="false" customHeight="false" outlineLevel="0" collapsed="false">
      <c r="A28" s="3" t="s">
        <v>268</v>
      </c>
      <c r="B28" s="13"/>
      <c r="C28" s="13"/>
      <c r="D28" s="13"/>
      <c r="E28" s="14" t="str">
        <f aca="false">IFERROR(((INT(N(B28)/100)*60+MOD(N(B28),100))+(INT(N(C28)/100)*60+MOD(N(C28),100))+(INT(N(D28)/100)*60+MOD(N(D28),100)))/COUNT(B28:D28)/86400,"")</f>
        <v/>
      </c>
      <c r="F28" s="15" t="n">
        <f aca="false">IFERROR(N(F27)+N(E28),"")</f>
        <v>0</v>
      </c>
    </row>
    <row r="29" customFormat="false" ht="15" hidden="false" customHeight="false" outlineLevel="0" collapsed="false">
      <c r="A29" s="16" t="s">
        <v>108</v>
      </c>
      <c r="B29" s="13"/>
      <c r="C29" s="13"/>
      <c r="D29" s="13"/>
      <c r="E29" s="14" t="str">
        <f aca="false">IFERROR(((INT(N(B29)/100)*60+MOD(N(B29),100))+(INT(N(C29)/100)*60+MOD(N(C29),100))+(INT(N(D29)/100)*60+MOD(N(D29),100)))/COUNT(B29:D29)/86400,"")</f>
        <v/>
      </c>
      <c r="F29" s="15" t="n">
        <f aca="false">IFERROR(N(F28)+N(E29),"")</f>
        <v>0</v>
      </c>
    </row>
    <row r="30" customFormat="false" ht="15" hidden="false" customHeight="false" outlineLevel="0" collapsed="false">
      <c r="A30" s="3" t="s">
        <v>109</v>
      </c>
      <c r="B30" s="13" t="n">
        <v>27</v>
      </c>
      <c r="C30" s="13" t="n">
        <v>30</v>
      </c>
      <c r="D30" s="13"/>
      <c r="E30" s="14" t="n">
        <f aca="false">IFERROR(((INT(N(B30)/100)*60+MOD(N(B30),100))+(INT(N(C30)/100)*60+MOD(N(C30),100))+(INT(N(D30)/100)*60+MOD(N(D30),100)))/COUNT(B30:D30)/86400,"")</f>
        <v>0.000329861111111111</v>
      </c>
      <c r="F30" s="15" t="n">
        <f aca="false">IFERROR(N(F29)+N(E30),"")</f>
        <v>0.000329861111111111</v>
      </c>
    </row>
    <row r="31" customFormat="false" ht="15" hidden="false" customHeight="false" outlineLevel="0" collapsed="false">
      <c r="A31" s="19" t="s">
        <v>269</v>
      </c>
      <c r="B31" s="13" t="n">
        <v>411</v>
      </c>
      <c r="C31" s="13" t="n">
        <v>338</v>
      </c>
      <c r="D31" s="13"/>
      <c r="E31" s="14" t="n">
        <f aca="false">IFERROR(((INT(N(B31)/100)*60+MOD(N(B31),100))+(INT(N(C31)/100)*60+MOD(N(C31),100))+(INT(N(D31)/100)*60+MOD(N(D31),100)))/COUNT(B31:D31)/86400,"")</f>
        <v>0.00271412037037037</v>
      </c>
      <c r="F31" s="15" t="n">
        <f aca="false">IFERROR(N(F30)+N(E31),"")</f>
        <v>0.00304398148148148</v>
      </c>
    </row>
    <row r="32" customFormat="false" ht="15" hidden="false" customHeight="false" outlineLevel="0" collapsed="false">
      <c r="A32" s="3" t="s">
        <v>111</v>
      </c>
      <c r="B32" s="13" t="n">
        <v>27</v>
      </c>
      <c r="C32" s="13" t="n">
        <v>20</v>
      </c>
      <c r="D32" s="13"/>
      <c r="E32" s="14" t="n">
        <f aca="false">IFERROR(((INT(N(B32)/100)*60+MOD(N(B32),100))+(INT(N(C32)/100)*60+MOD(N(C32),100))+(INT(N(D32)/100)*60+MOD(N(D32),100)))/COUNT(B32:D32)/86400,"")</f>
        <v>0.000271990740740741</v>
      </c>
      <c r="F32" s="15" t="n">
        <f aca="false">IFERROR(N(F31)+N(E32),"")</f>
        <v>0.00331597222222222</v>
      </c>
    </row>
    <row r="33" customFormat="false" ht="15" hidden="false" customHeight="false" outlineLevel="0" collapsed="false">
      <c r="A33" s="19" t="s">
        <v>270</v>
      </c>
      <c r="B33" s="13" t="n">
        <v>116</v>
      </c>
      <c r="C33" s="13" t="n">
        <v>118</v>
      </c>
      <c r="D33" s="13"/>
      <c r="E33" s="14" t="n">
        <f aca="false">IFERROR(((INT(N(B33)/100)*60+MOD(N(B33),100))+(INT(N(C33)/100)*60+MOD(N(C33),100))+(INT(N(D33)/100)*60+MOD(N(D33),100)))/COUNT(B33:D33)/86400,"")</f>
        <v>0.000891203703703704</v>
      </c>
      <c r="F33" s="15" t="n">
        <f aca="false">IFERROR(N(F32)+N(E33),"")</f>
        <v>0.00420717592592593</v>
      </c>
    </row>
    <row r="34" customFormat="false" ht="15" hidden="false" customHeight="false" outlineLevel="0" collapsed="false">
      <c r="A34" s="3" t="s">
        <v>113</v>
      </c>
      <c r="B34" s="13" t="n">
        <v>26</v>
      </c>
      <c r="C34" s="13" t="n">
        <v>25</v>
      </c>
      <c r="D34" s="13"/>
      <c r="E34" s="14" t="n">
        <f aca="false">IFERROR(((INT(N(B34)/100)*60+MOD(N(B34),100))+(INT(N(C34)/100)*60+MOD(N(C34),100))+(INT(N(D34)/100)*60+MOD(N(D34),100)))/COUNT(B34:D34)/86400,"")</f>
        <v>0.000295138888888889</v>
      </c>
      <c r="F34" s="15" t="n">
        <f aca="false">IFERROR(N(F33)+N(E34),"")</f>
        <v>0.00450231481481482</v>
      </c>
    </row>
    <row r="35" customFormat="false" ht="15" hidden="false" customHeight="false" outlineLevel="0" collapsed="false">
      <c r="A35" s="19" t="s">
        <v>271</v>
      </c>
      <c r="B35" s="13" t="n">
        <v>102</v>
      </c>
      <c r="C35" s="13" t="n">
        <v>103</v>
      </c>
      <c r="D35" s="13"/>
      <c r="E35" s="14" t="n">
        <f aca="false">IFERROR(((INT(N(B35)/100)*60+MOD(N(B35),100))+(INT(N(C35)/100)*60+MOD(N(C35),100))+(INT(N(D35)/100)*60+MOD(N(D35),100)))/COUNT(B35:D35)/86400,"")</f>
        <v>0.00072337962962963</v>
      </c>
      <c r="F35" s="15" t="n">
        <f aca="false">IFERROR(N(F34)+N(E35),"")</f>
        <v>0.00522569444444444</v>
      </c>
    </row>
    <row r="36" customFormat="false" ht="15" hidden="false" customHeight="false" outlineLevel="0" collapsed="false">
      <c r="A36" s="3" t="s">
        <v>115</v>
      </c>
      <c r="B36" s="13" t="n">
        <v>21</v>
      </c>
      <c r="C36" s="13" t="n">
        <v>22</v>
      </c>
      <c r="D36" s="13"/>
      <c r="E36" s="14" t="n">
        <f aca="false">IFERROR(((INT(N(B36)/100)*60+MOD(N(B36),100))+(INT(N(C36)/100)*60+MOD(N(C36),100))+(INT(N(D36)/100)*60+MOD(N(D36),100)))/COUNT(B36:D36)/86400,"")</f>
        <v>0.000248842592592593</v>
      </c>
      <c r="F36" s="15" t="n">
        <f aca="false">IFERROR(N(F35)+N(E36),"")</f>
        <v>0.00547453703703704</v>
      </c>
    </row>
    <row r="37" customFormat="false" ht="15" hidden="false" customHeight="false" outlineLevel="0" collapsed="false">
      <c r="A37" s="19" t="s">
        <v>272</v>
      </c>
      <c r="B37" s="13" t="n">
        <v>104</v>
      </c>
      <c r="C37" s="13" t="n">
        <v>106</v>
      </c>
      <c r="D37" s="13"/>
      <c r="E37" s="14" t="n">
        <f aca="false">IFERROR(((INT(N(B37)/100)*60+MOD(N(B37),100))+(INT(N(C37)/100)*60+MOD(N(C37),100))+(INT(N(D37)/100)*60+MOD(N(D37),100)))/COUNT(B37:D37)/86400,"")</f>
        <v>0.000752314814814815</v>
      </c>
      <c r="F37" s="15" t="n">
        <f aca="false">IFERROR(N(F36)+N(E37),"")</f>
        <v>0.00622685185185185</v>
      </c>
    </row>
    <row r="38" customFormat="false" ht="15" hidden="false" customHeight="false" outlineLevel="0" collapsed="false">
      <c r="A38" s="3" t="s">
        <v>117</v>
      </c>
      <c r="B38" s="13" t="n">
        <v>21</v>
      </c>
      <c r="C38" s="13" t="n">
        <v>36</v>
      </c>
      <c r="D38" s="13"/>
      <c r="E38" s="14" t="n">
        <f aca="false">IFERROR(((INT(N(B38)/100)*60+MOD(N(B38),100))+(INT(N(C38)/100)*60+MOD(N(C38),100))+(INT(N(D38)/100)*60+MOD(N(D38),100)))/COUNT(B38:D38)/86400,"")</f>
        <v>0.000329861111111111</v>
      </c>
      <c r="F38" s="15" t="n">
        <f aca="false">IFERROR(N(F37)+N(E38),"")</f>
        <v>0.00655671296296296</v>
      </c>
    </row>
    <row r="39" customFormat="false" ht="15" hidden="false" customHeight="false" outlineLevel="0" collapsed="false">
      <c r="A39" s="19" t="s">
        <v>273</v>
      </c>
      <c r="B39" s="13" t="n">
        <v>156</v>
      </c>
      <c r="C39" s="13" t="n">
        <v>229</v>
      </c>
      <c r="D39" s="13"/>
      <c r="E39" s="14" t="n">
        <f aca="false">IFERROR(((INT(N(B39)/100)*60+MOD(N(B39),100))+(INT(N(C39)/100)*60+MOD(N(C39),100))+(INT(N(D39)/100)*60+MOD(N(D39),100)))/COUNT(B39:D39)/86400,"")</f>
        <v>0.00153356481481481</v>
      </c>
      <c r="F39" s="15" t="n">
        <f aca="false">IFERROR(N(F38)+N(E39),"")</f>
        <v>0.00809027777777778</v>
      </c>
    </row>
    <row r="40" customFormat="false" ht="15" hidden="false" customHeight="false" outlineLevel="0" collapsed="false">
      <c r="A40" s="3" t="s">
        <v>119</v>
      </c>
      <c r="B40" s="13" t="n">
        <v>31</v>
      </c>
      <c r="C40" s="13" t="n">
        <v>32</v>
      </c>
      <c r="D40" s="13"/>
      <c r="E40" s="14" t="n">
        <f aca="false">IFERROR(((INT(N(B40)/100)*60+MOD(N(B40),100))+(INT(N(C40)/100)*60+MOD(N(C40),100))+(INT(N(D40)/100)*60+MOD(N(D40),100)))/COUNT(B40:D40)/86400,"")</f>
        <v>0.000364583333333333</v>
      </c>
      <c r="F40" s="15" t="n">
        <f aca="false">IFERROR(N(F39)+N(E40),"")</f>
        <v>0.00845486111111111</v>
      </c>
    </row>
    <row r="41" customFormat="false" ht="15" hidden="false" customHeight="false" outlineLevel="0" collapsed="false">
      <c r="A41" s="19" t="s">
        <v>173</v>
      </c>
      <c r="B41" s="13" t="n">
        <v>232</v>
      </c>
      <c r="C41" s="13" t="n">
        <v>202</v>
      </c>
      <c r="D41" s="13"/>
      <c r="E41" s="14" t="n">
        <f aca="false">IFERROR(((INT(N(B41)/100)*60+MOD(N(B41),100))+(INT(N(C41)/100)*60+MOD(N(C41),100))+(INT(N(D41)/100)*60+MOD(N(D41),100)))/COUNT(B41:D41)/86400,"")</f>
        <v>0.00158564814814815</v>
      </c>
      <c r="F41" s="15" t="n">
        <f aca="false">IFERROR(N(F40)+N(E41),"")</f>
        <v>0.0100405092592593</v>
      </c>
    </row>
    <row r="42" customFormat="false" ht="15" hidden="false" customHeight="false" outlineLevel="0" collapsed="false">
      <c r="A42" s="3" t="s">
        <v>121</v>
      </c>
      <c r="B42" s="13" t="n">
        <v>29</v>
      </c>
      <c r="C42" s="13" t="n">
        <v>27</v>
      </c>
      <c r="D42" s="13"/>
      <c r="E42" s="14" t="n">
        <f aca="false">IFERROR(((INT(N(B42)/100)*60+MOD(N(B42),100))+(INT(N(C42)/100)*60+MOD(N(C42),100))+(INT(N(D42)/100)*60+MOD(N(D42),100)))/COUNT(B42:D42)/86400,"")</f>
        <v>0.000324074074074074</v>
      </c>
      <c r="F42" s="15" t="n">
        <f aca="false">IFERROR(N(F41)+N(E42),"")</f>
        <v>0.0103645833333333</v>
      </c>
    </row>
    <row r="43" customFormat="false" ht="15" hidden="false" customHeight="false" outlineLevel="0" collapsed="false">
      <c r="A43" s="19" t="s">
        <v>174</v>
      </c>
      <c r="B43" s="13" t="n">
        <v>115</v>
      </c>
      <c r="C43" s="13" t="n">
        <v>109</v>
      </c>
      <c r="D43" s="13"/>
      <c r="E43" s="14" t="n">
        <f aca="false">IFERROR(((INT(N(B43)/100)*60+MOD(N(B43),100))+(INT(N(C43)/100)*60+MOD(N(C43),100))+(INT(N(D43)/100)*60+MOD(N(D43),100)))/COUNT(B43:D43)/86400,"")</f>
        <v>0.000833333333333333</v>
      </c>
      <c r="F43" s="15" t="n">
        <f aca="false">IFERROR(N(F42)+N(E43),"")</f>
        <v>0.0111979166666667</v>
      </c>
    </row>
    <row r="44" customFormat="false" ht="15" hidden="false" customHeight="false" outlineLevel="0" collapsed="false">
      <c r="A44" s="3" t="s">
        <v>123</v>
      </c>
      <c r="B44" s="13" t="n">
        <v>32</v>
      </c>
      <c r="C44" s="13" t="n">
        <v>18</v>
      </c>
      <c r="D44" s="13"/>
      <c r="E44" s="14" t="n">
        <f aca="false">IFERROR(((INT(N(B44)/100)*60+MOD(N(B44),100))+(INT(N(C44)/100)*60+MOD(N(C44),100))+(INT(N(D44)/100)*60+MOD(N(D44),100)))/COUNT(B44:D44)/86400,"")</f>
        <v>0.000289351851851852</v>
      </c>
      <c r="F44" s="15" t="n">
        <f aca="false">IFERROR(N(F43)+N(E44),"")</f>
        <v>0.0114872685185185</v>
      </c>
    </row>
    <row r="45" customFormat="false" ht="15" hidden="false" customHeight="false" outlineLevel="0" collapsed="false">
      <c r="A45" s="19" t="s">
        <v>175</v>
      </c>
      <c r="B45" s="13" t="n">
        <v>55</v>
      </c>
      <c r="C45" s="13" t="n">
        <v>59</v>
      </c>
      <c r="D45" s="13"/>
      <c r="E45" s="14" t="n">
        <f aca="false">IFERROR(((INT(N(B45)/100)*60+MOD(N(B45),100))+(INT(N(C45)/100)*60+MOD(N(C45),100))+(INT(N(D45)/100)*60+MOD(N(D45),100)))/COUNT(B45:D45)/86400,"")</f>
        <v>0.000659722222222222</v>
      </c>
      <c r="F45" s="15" t="n">
        <f aca="false">IFERROR(N(F44)+N(E45),"")</f>
        <v>0.0121469907407407</v>
      </c>
    </row>
    <row r="46" customFormat="false" ht="15" hidden="false" customHeight="false" outlineLevel="0" collapsed="false">
      <c r="A46" s="3" t="s">
        <v>125</v>
      </c>
      <c r="B46" s="13" t="n">
        <v>35</v>
      </c>
      <c r="C46" s="13" t="n">
        <v>23</v>
      </c>
      <c r="D46" s="13"/>
      <c r="E46" s="14" t="n">
        <f aca="false">IFERROR(((INT(N(B46)/100)*60+MOD(N(B46),100))+(INT(N(C46)/100)*60+MOD(N(C46),100))+(INT(N(D46)/100)*60+MOD(N(D46),100)))/COUNT(B46:D46)/86400,"")</f>
        <v>0.000335648148148148</v>
      </c>
      <c r="F46" s="15" t="n">
        <f aca="false">IFERROR(N(F45)+N(E46),"")</f>
        <v>0.0124826388888889</v>
      </c>
    </row>
    <row r="47" customFormat="false" ht="15" hidden="false" customHeight="false" outlineLevel="0" collapsed="false">
      <c r="A47" s="19" t="s">
        <v>176</v>
      </c>
      <c r="B47" s="13" t="n">
        <v>104</v>
      </c>
      <c r="C47" s="13" t="n">
        <v>116</v>
      </c>
      <c r="D47" s="13"/>
      <c r="E47" s="14" t="n">
        <f aca="false">IFERROR(((INT(N(B47)/100)*60+MOD(N(B47),100))+(INT(N(C47)/100)*60+MOD(N(C47),100))+(INT(N(D47)/100)*60+MOD(N(D47),100)))/COUNT(B47:D47)/86400,"")</f>
        <v>0.000810185185185185</v>
      </c>
      <c r="F47" s="15" t="n">
        <f aca="false">IFERROR(N(F46)+N(E47),"")</f>
        <v>0.0132928240740741</v>
      </c>
    </row>
    <row r="48" customFormat="false" ht="15" hidden="false" customHeight="false" outlineLevel="0" collapsed="false">
      <c r="A48" s="3" t="s">
        <v>76</v>
      </c>
      <c r="B48" s="13" t="n">
        <v>33</v>
      </c>
      <c r="C48" s="13"/>
      <c r="D48" s="13"/>
      <c r="E48" s="14" t="n">
        <f aca="false">IFERROR(((INT(N(B48)/100)*60+MOD(N(B48),100))+(INT(N(C48)/100)*60+MOD(N(C48),100))+(INT(N(D48)/100)*60+MOD(N(D48),100)))/COUNT(B48:D48)/86400,"")</f>
        <v>0.000381944444444444</v>
      </c>
      <c r="F48" s="15" t="n">
        <f aca="false">IFERROR(N(F47)+N(E48),"")</f>
        <v>0.0136747685185185</v>
      </c>
    </row>
    <row r="49" customFormat="false" ht="15" hidden="false" customHeight="false" outlineLevel="0" collapsed="false">
      <c r="A49" s="19" t="s">
        <v>177</v>
      </c>
      <c r="B49" s="13" t="n">
        <v>50</v>
      </c>
      <c r="C49" s="13"/>
      <c r="D49" s="13"/>
      <c r="E49" s="14" t="n">
        <f aca="false">IFERROR(((INT(N(B49)/100)*60+MOD(N(B49),100))+(INT(N(C49)/100)*60+MOD(N(C49),100))+(INT(N(D49)/100)*60+MOD(N(D49),100)))/COUNT(B49:D49)/86400,"")</f>
        <v>0.000578703703703704</v>
      </c>
      <c r="F49" s="15" t="n">
        <f aca="false">IFERROR(N(F48)+N(E49),"")</f>
        <v>0.0142534722222222</v>
      </c>
    </row>
    <row r="50" customFormat="false" ht="15" hidden="false" customHeight="false" outlineLevel="0" collapsed="false">
      <c r="A50" s="3" t="s">
        <v>127</v>
      </c>
      <c r="B50" s="13" t="n">
        <v>38</v>
      </c>
      <c r="C50" s="13"/>
      <c r="D50" s="13"/>
      <c r="E50" s="14" t="n">
        <f aca="false">IFERROR(((INT(N(B50)/100)*60+MOD(N(B50),100))+(INT(N(C50)/100)*60+MOD(N(C50),100))+(INT(N(D50)/100)*60+MOD(N(D50),100)))/COUNT(B50:D50)/86400,"")</f>
        <v>0.000439814814814815</v>
      </c>
      <c r="F50" s="15" t="n">
        <f aca="false">IFERROR(N(F49)+N(E50),"")</f>
        <v>0.014693287037037</v>
      </c>
    </row>
    <row r="51" customFormat="false" ht="15" hidden="false" customHeight="false" outlineLevel="0" collapsed="false">
      <c r="A51" s="19" t="s">
        <v>178</v>
      </c>
      <c r="B51" s="13" t="n">
        <v>106</v>
      </c>
      <c r="C51" s="13"/>
      <c r="D51" s="13"/>
      <c r="E51" s="14" t="n">
        <f aca="false">IFERROR(((INT(N(B51)/100)*60+MOD(N(B51),100))+(INT(N(C51)/100)*60+MOD(N(C51),100))+(INT(N(D51)/100)*60+MOD(N(D51),100)))/COUNT(B51:D51)/86400,"")</f>
        <v>0.000763888888888889</v>
      </c>
      <c r="F51" s="15" t="n">
        <f aca="false">IFERROR(N(F50)+N(E51),"")</f>
        <v>0.0154571759259259</v>
      </c>
    </row>
    <row r="52" customFormat="false" ht="15" hidden="false" customHeight="false" outlineLevel="0" collapsed="false">
      <c r="A52" s="3" t="s">
        <v>129</v>
      </c>
      <c r="B52" s="13" t="n">
        <v>33</v>
      </c>
      <c r="C52" s="13"/>
      <c r="D52" s="13"/>
      <c r="E52" s="14" t="n">
        <f aca="false">IFERROR(((INT(N(B52)/100)*60+MOD(N(B52),100))+(INT(N(C52)/100)*60+MOD(N(C52),100))+(INT(N(D52)/100)*60+MOD(N(D52),100)))/COUNT(B52:D52)/86400,"")</f>
        <v>0.000381944444444444</v>
      </c>
      <c r="F52" s="15" t="n">
        <f aca="false">IFERROR(N(F51)+N(E52),"")</f>
        <v>0.0158391203703704</v>
      </c>
    </row>
    <row r="53" customFormat="false" ht="15" hidden="false" customHeight="false" outlineLevel="0" collapsed="false">
      <c r="A53" s="19" t="s">
        <v>179</v>
      </c>
      <c r="B53" s="13" t="n">
        <v>103</v>
      </c>
      <c r="C53" s="13"/>
      <c r="D53" s="13"/>
      <c r="E53" s="14" t="n">
        <f aca="false">IFERROR(((INT(N(B53)/100)*60+MOD(N(B53),100))+(INT(N(C53)/100)*60+MOD(N(C53),100))+(INT(N(D53)/100)*60+MOD(N(D53),100)))/COUNT(B53:D53)/86400,"")</f>
        <v>0.000729166666666667</v>
      </c>
      <c r="F53" s="15" t="n">
        <f aca="false">IFERROR(N(F52)+N(E53),"")</f>
        <v>0.016568287037037</v>
      </c>
    </row>
    <row r="54" customFormat="false" ht="15" hidden="false" customHeight="false" outlineLevel="0" collapsed="false">
      <c r="A54" s="3" t="s">
        <v>131</v>
      </c>
      <c r="B54" s="13" t="n">
        <v>30</v>
      </c>
      <c r="C54" s="13"/>
      <c r="D54" s="13"/>
      <c r="E54" s="14" t="n">
        <f aca="false">IFERROR(((INT(N(B54)/100)*60+MOD(N(B54),100))+(INT(N(C54)/100)*60+MOD(N(C54),100))+(INT(N(D54)/100)*60+MOD(N(D54),100)))/COUNT(B54:D54)/86400,"")</f>
        <v>0.000347222222222222</v>
      </c>
      <c r="F54" s="15" t="n">
        <f aca="false">IFERROR(N(F53)+N(E54),"")</f>
        <v>0.0169155092592593</v>
      </c>
    </row>
    <row r="55" customFormat="false" ht="15" hidden="false" customHeight="false" outlineLevel="0" collapsed="false">
      <c r="A55" s="19" t="s">
        <v>180</v>
      </c>
      <c r="B55" s="13" t="n">
        <v>50</v>
      </c>
      <c r="C55" s="13"/>
      <c r="D55" s="13"/>
      <c r="E55" s="14" t="n">
        <f aca="false">IFERROR(((INT(N(B55)/100)*60+MOD(N(B55),100))+(INT(N(C55)/100)*60+MOD(N(C55),100))+(INT(N(D55)/100)*60+MOD(N(D55),100)))/COUNT(B55:D55)/86400,"")</f>
        <v>0.000578703703703704</v>
      </c>
      <c r="F55" s="15" t="n">
        <f aca="false">IFERROR(N(F54)+N(E55),"")</f>
        <v>0.017494212962963</v>
      </c>
    </row>
    <row r="56" customFormat="false" ht="15" hidden="false" customHeight="false" outlineLevel="0" collapsed="false">
      <c r="A56" s="3" t="s">
        <v>133</v>
      </c>
      <c r="B56" s="13" t="n">
        <v>52</v>
      </c>
      <c r="C56" s="13"/>
      <c r="D56" s="13"/>
      <c r="E56" s="14" t="n">
        <f aca="false">IFERROR(((INT(N(B56)/100)*60+MOD(N(B56),100))+(INT(N(C56)/100)*60+MOD(N(C56),100))+(INT(N(D56)/100)*60+MOD(N(D56),100)))/COUNT(B56:D56)/86400,"")</f>
        <v>0.000601851851851852</v>
      </c>
      <c r="F56" s="15" t="n">
        <f aca="false">IFERROR(N(F55)+N(E56),"")</f>
        <v>0.0180960648148148</v>
      </c>
    </row>
    <row r="57" customFormat="false" ht="15" hidden="false" customHeight="false" outlineLevel="0" collapsed="false">
      <c r="A57" s="19" t="s">
        <v>181</v>
      </c>
      <c r="B57" s="13" t="n">
        <v>110</v>
      </c>
      <c r="C57" s="13"/>
      <c r="D57" s="13"/>
      <c r="E57" s="14" t="n">
        <f aca="false">IFERROR(((INT(N(B57)/100)*60+MOD(N(B57),100))+(INT(N(C57)/100)*60+MOD(N(C57),100))+(INT(N(D57)/100)*60+MOD(N(D57),100)))/COUNT(B57:D57)/86400,"")</f>
        <v>0.000810185185185185</v>
      </c>
      <c r="F57" s="15" t="n">
        <f aca="false">IFERROR(N(F56)+N(E57),"")</f>
        <v>0.01890625</v>
      </c>
    </row>
    <row r="58" customFormat="false" ht="15" hidden="false" customHeight="false" outlineLevel="0" collapsed="false">
      <c r="A58" s="3" t="s">
        <v>135</v>
      </c>
      <c r="B58" s="13" t="n">
        <v>45</v>
      </c>
      <c r="C58" s="13"/>
      <c r="D58" s="13"/>
      <c r="E58" s="14" t="n">
        <f aca="false">IFERROR(((INT(N(B58)/100)*60+MOD(N(B58),100))+(INT(N(C58)/100)*60+MOD(N(C58),100))+(INT(N(D58)/100)*60+MOD(N(D58),100)))/COUNT(B58:D58)/86400,"")</f>
        <v>0.000520833333333333</v>
      </c>
      <c r="F58" s="15" t="n">
        <f aca="false">IFERROR(N(F57)+N(E58),"")</f>
        <v>0.0194270833333333</v>
      </c>
    </row>
    <row r="59" customFormat="false" ht="15" hidden="false" customHeight="false" outlineLevel="0" collapsed="false">
      <c r="A59" s="19" t="s">
        <v>182</v>
      </c>
      <c r="B59" s="13" t="n">
        <v>200</v>
      </c>
      <c r="C59" s="13"/>
      <c r="D59" s="13"/>
      <c r="E59" s="14" t="n">
        <f aca="false">IFERROR(((INT(N(B59)/100)*60+MOD(N(B59),100))+(INT(N(C59)/100)*60+MOD(N(C59),100))+(INT(N(D59)/100)*60+MOD(N(D59),100)))/COUNT(B59:D59)/86400,"")</f>
        <v>0.00138888888888889</v>
      </c>
      <c r="F59" s="15" t="n">
        <f aca="false">IFERROR(N(F58)+N(E59),"")</f>
        <v>0.0208159722222222</v>
      </c>
    </row>
    <row r="60" customFormat="false" ht="15" hidden="false" customHeight="false" outlineLevel="0" collapsed="false">
      <c r="A60" s="3" t="s">
        <v>137</v>
      </c>
      <c r="B60" s="13" t="n">
        <v>110</v>
      </c>
      <c r="C60" s="13"/>
      <c r="D60" s="13"/>
      <c r="E60" s="14" t="n">
        <f aca="false">IFERROR(((INT(N(B60)/100)*60+MOD(N(B60),100))+(INT(N(C60)/100)*60+MOD(N(C60),100))+(INT(N(D60)/100)*60+MOD(N(D60),100)))/COUNT(B60:D60)/86400,"")</f>
        <v>0.000810185185185185</v>
      </c>
      <c r="F60" s="15" t="n">
        <f aca="false">IFERROR(N(F59)+N(E60),"")</f>
        <v>0.0216261574074074</v>
      </c>
    </row>
    <row r="61" customFormat="false" ht="15" hidden="false" customHeight="false" outlineLevel="0" collapsed="false">
      <c r="A61" s="19" t="s">
        <v>183</v>
      </c>
      <c r="B61" s="13" t="n">
        <v>114</v>
      </c>
      <c r="C61" s="13"/>
      <c r="D61" s="13"/>
      <c r="E61" s="14" t="n">
        <f aca="false">IFERROR(((INT(N(B61)/100)*60+MOD(N(B61),100))+(INT(N(C61)/100)*60+MOD(N(C61),100))+(INT(N(D61)/100)*60+MOD(N(D61),100)))/COUNT(B61:D61)/86400,"")</f>
        <v>0.000856481481481482</v>
      </c>
      <c r="F61" s="15" t="n">
        <f aca="false">IFERROR(N(F60)+N(E61),"")</f>
        <v>0.0224826388888889</v>
      </c>
    </row>
    <row r="62" customFormat="false" ht="15" hidden="false" customHeight="false" outlineLevel="0" collapsed="false">
      <c r="A62" s="3" t="s">
        <v>139</v>
      </c>
      <c r="B62" s="13" t="n">
        <v>28</v>
      </c>
      <c r="C62" s="13"/>
      <c r="D62" s="13"/>
      <c r="E62" s="14" t="n">
        <f aca="false">IFERROR(((INT(N(B62)/100)*60+MOD(N(B62),100))+(INT(N(C62)/100)*60+MOD(N(C62),100))+(INT(N(D62)/100)*60+MOD(N(D62),100)))/COUNT(B62:D62)/86400,"")</f>
        <v>0.000324074074074074</v>
      </c>
      <c r="F62" s="15" t="n">
        <f aca="false">IFERROR(N(F61)+N(E62),"")</f>
        <v>0.022806712962963</v>
      </c>
    </row>
    <row r="63" customFormat="false" ht="15" hidden="false" customHeight="false" outlineLevel="0" collapsed="false">
      <c r="A63" s="19" t="s">
        <v>184</v>
      </c>
      <c r="B63" s="13" t="n">
        <v>225</v>
      </c>
      <c r="C63" s="13" t="n">
        <v>217</v>
      </c>
      <c r="D63" s="13"/>
      <c r="E63" s="14" t="n">
        <f aca="false">IFERROR(((INT(N(B63)/100)*60+MOD(N(B63),100))+(INT(N(C63)/100)*60+MOD(N(C63),100))+(INT(N(D63)/100)*60+MOD(N(D63),100)))/COUNT(B63:D63)/86400,"")</f>
        <v>0.00163194444444444</v>
      </c>
      <c r="F63" s="15" t="n">
        <f aca="false">IFERROR(N(F62)+N(E63),"")</f>
        <v>0.0244386574074074</v>
      </c>
    </row>
    <row r="64" customFormat="false" ht="15" hidden="false" customHeight="false" outlineLevel="0" collapsed="false">
      <c r="A64" s="3" t="s">
        <v>141</v>
      </c>
      <c r="B64" s="13" t="n">
        <v>32</v>
      </c>
      <c r="C64" s="13" t="n">
        <v>24</v>
      </c>
      <c r="D64" s="13"/>
      <c r="E64" s="14" t="n">
        <f aca="false">IFERROR(((INT(N(B64)/100)*60+MOD(N(B64),100))+(INT(N(C64)/100)*60+MOD(N(C64),100))+(INT(N(D64)/100)*60+MOD(N(D64),100)))/COUNT(B64:D64)/86400,"")</f>
        <v>0.000324074074074074</v>
      </c>
      <c r="F64" s="15" t="n">
        <f aca="false">IFERROR(N(F63)+N(E64),"")</f>
        <v>0.0247627314814815</v>
      </c>
    </row>
    <row r="65" customFormat="false" ht="15" hidden="false" customHeight="false" outlineLevel="0" collapsed="false">
      <c r="A65" s="19" t="s">
        <v>274</v>
      </c>
      <c r="B65" s="13" t="n">
        <v>329</v>
      </c>
      <c r="C65" s="13" t="n">
        <v>513</v>
      </c>
      <c r="D65" s="13"/>
      <c r="E65" s="14" t="n">
        <f aca="false">IFERROR(((INT(N(B65)/100)*60+MOD(N(B65),100))+(INT(N(C65)/100)*60+MOD(N(C65),100))+(INT(N(D65)/100)*60+MOD(N(D65),100)))/COUNT(B65:D65)/86400,"")</f>
        <v>0.00302083333333333</v>
      </c>
      <c r="F65" s="15" t="n">
        <f aca="false">IFERROR(N(F64)+N(E65),"")</f>
        <v>0.0277835648148148</v>
      </c>
    </row>
    <row r="66" customFormat="false" ht="15" hidden="false" customHeight="false" outlineLevel="0" collapsed="false">
      <c r="A66" s="3" t="s">
        <v>186</v>
      </c>
      <c r="B66" s="13" t="n">
        <v>26</v>
      </c>
      <c r="C66" s="13" t="n">
        <v>27</v>
      </c>
      <c r="D66" s="13"/>
      <c r="E66" s="14" t="n">
        <f aca="false">IFERROR(((INT(N(B66)/100)*60+MOD(N(B66),100))+(INT(N(C66)/100)*60+MOD(N(C66),100))+(INT(N(D66)/100)*60+MOD(N(D66),100)))/COUNT(B66:D66)/86400,"")</f>
        <v>0.000306712962962963</v>
      </c>
      <c r="F66" s="15" t="n">
        <f aca="false">IFERROR(N(F65)+N(E66),"")</f>
        <v>0.0280902777777778</v>
      </c>
    </row>
    <row r="67" customFormat="false" ht="15" hidden="false" customHeight="false" outlineLevel="0" collapsed="false">
      <c r="A67" s="19" t="s">
        <v>275</v>
      </c>
      <c r="B67" s="13" t="n">
        <v>208</v>
      </c>
      <c r="C67" s="13" t="n">
        <v>212</v>
      </c>
      <c r="D67" s="13"/>
      <c r="E67" s="14" t="n">
        <f aca="false">IFERROR(((INT(N(B67)/100)*60+MOD(N(B67),100))+(INT(N(C67)/100)*60+MOD(N(C67),100))+(INT(N(D67)/100)*60+MOD(N(D67),100)))/COUNT(B67:D67)/86400,"")</f>
        <v>0.00150462962962963</v>
      </c>
      <c r="F67" s="15" t="n">
        <f aca="false">IFERROR(N(F66)+N(E67),"")</f>
        <v>0.0295949074074074</v>
      </c>
    </row>
    <row r="68" customFormat="false" ht="15" hidden="false" customHeight="false" outlineLevel="0" collapsed="false">
      <c r="A68" s="3" t="s">
        <v>188</v>
      </c>
      <c r="B68" s="13" t="n">
        <v>21</v>
      </c>
      <c r="C68" s="13" t="n">
        <v>32</v>
      </c>
      <c r="D68" s="13"/>
      <c r="E68" s="14" t="n">
        <f aca="false">IFERROR(((INT(N(B68)/100)*60+MOD(N(B68),100))+(INT(N(C68)/100)*60+MOD(N(C68),100))+(INT(N(D68)/100)*60+MOD(N(D68),100)))/COUNT(B68:D68)/86400,"")</f>
        <v>0.000306712962962963</v>
      </c>
      <c r="F68" s="15" t="n">
        <f aca="false">IFERROR(N(F67)+N(E68),"")</f>
        <v>0.0299016203703704</v>
      </c>
    </row>
    <row r="69" customFormat="false" ht="15" hidden="false" customHeight="false" outlineLevel="0" collapsed="false">
      <c r="A69" s="19" t="s">
        <v>276</v>
      </c>
      <c r="B69" s="13" t="n">
        <v>139</v>
      </c>
      <c r="C69" s="13" t="n">
        <v>133</v>
      </c>
      <c r="D69" s="13"/>
      <c r="E69" s="14" t="n">
        <f aca="false">IFERROR(((INT(N(B69)/100)*60+MOD(N(B69),100))+(INT(N(C69)/100)*60+MOD(N(C69),100))+(INT(N(D69)/100)*60+MOD(N(D69),100)))/COUNT(B69:D69)/86400,"")</f>
        <v>0.00111111111111111</v>
      </c>
      <c r="F69" s="15" t="n">
        <f aca="false">IFERROR(N(F68)+N(E69),"")</f>
        <v>0.0310127314814815</v>
      </c>
    </row>
    <row r="70" customFormat="false" ht="15" hidden="false" customHeight="false" outlineLevel="0" collapsed="false">
      <c r="A70" s="3" t="s">
        <v>190</v>
      </c>
      <c r="B70" s="13" t="n">
        <v>25</v>
      </c>
      <c r="C70" s="13" t="n">
        <v>32</v>
      </c>
      <c r="D70" s="13"/>
      <c r="E70" s="14" t="n">
        <f aca="false">IFERROR(((INT(N(B70)/100)*60+MOD(N(B70),100))+(INT(N(C70)/100)*60+MOD(N(C70),100))+(INT(N(D70)/100)*60+MOD(N(D70),100)))/COUNT(B70:D70)/86400,"")</f>
        <v>0.000329861111111111</v>
      </c>
      <c r="F70" s="15" t="n">
        <f aca="false">IFERROR(N(F69)+N(E70),"")</f>
        <v>0.0313425925925926</v>
      </c>
    </row>
    <row r="71" customFormat="false" ht="15" hidden="false" customHeight="false" outlineLevel="0" collapsed="false">
      <c r="A71" s="19" t="s">
        <v>277</v>
      </c>
      <c r="B71" s="13" t="n">
        <v>205</v>
      </c>
      <c r="C71" s="13" t="n">
        <v>205</v>
      </c>
      <c r="D71" s="13"/>
      <c r="E71" s="14" t="n">
        <f aca="false">IFERROR(((INT(N(B71)/100)*60+MOD(N(B71),100))+(INT(N(C71)/100)*60+MOD(N(C71),100))+(INT(N(D71)/100)*60+MOD(N(D71),100)))/COUNT(B71:D71)/86400,"")</f>
        <v>0.00144675925925926</v>
      </c>
      <c r="F71" s="15" t="n">
        <f aca="false">IFERROR(N(F70)+N(E71),"")</f>
        <v>0.0327893518518519</v>
      </c>
    </row>
    <row r="72" customFormat="false" ht="15" hidden="false" customHeight="false" outlineLevel="0" collapsed="false">
      <c r="A72" s="3" t="s">
        <v>192</v>
      </c>
      <c r="B72" s="13" t="n">
        <v>33</v>
      </c>
      <c r="C72" s="13" t="n">
        <v>36</v>
      </c>
      <c r="D72" s="13"/>
      <c r="E72" s="14" t="n">
        <f aca="false">IFERROR(((INT(N(B72)/100)*60+MOD(N(B72),100))+(INT(N(C72)/100)*60+MOD(N(C72),100))+(INT(N(D72)/100)*60+MOD(N(D72),100)))/COUNT(B72:D72)/86400,"")</f>
        <v>0.000399305555555556</v>
      </c>
      <c r="F72" s="15" t="n">
        <f aca="false">IFERROR(N(F71)+N(E72),"")</f>
        <v>0.0331886574074074</v>
      </c>
    </row>
    <row r="73" customFormat="false" ht="15" hidden="false" customHeight="false" outlineLevel="0" collapsed="false">
      <c r="A73" s="19" t="s">
        <v>278</v>
      </c>
      <c r="B73" s="13" t="n">
        <v>222</v>
      </c>
      <c r="C73" s="13" t="n">
        <v>236</v>
      </c>
      <c r="D73" s="13"/>
      <c r="E73" s="14" t="n">
        <f aca="false">IFERROR(((INT(N(B73)/100)*60+MOD(N(B73),100))+(INT(N(C73)/100)*60+MOD(N(C73),100))+(INT(N(D73)/100)*60+MOD(N(D73),100)))/COUNT(B73:D73)/86400,"")</f>
        <v>0.00172453703703704</v>
      </c>
      <c r="F73" s="15" t="n">
        <f aca="false">IFERROR(N(F72)+N(E73),"")</f>
        <v>0.0349131944444445</v>
      </c>
    </row>
    <row r="74" customFormat="false" ht="15" hidden="false" customHeight="false" outlineLevel="0" collapsed="false">
      <c r="A74" s="3" t="s">
        <v>194</v>
      </c>
      <c r="B74" s="13"/>
      <c r="C74" s="13"/>
      <c r="D74" s="13"/>
      <c r="E74" s="14" t="str">
        <f aca="false">IFERROR(((INT(N(B74)/100)*60+MOD(N(B74),100))+(INT(N(C74)/100)*60+MOD(N(C74),100))+(INT(N(D74)/100)*60+MOD(N(D74),100)))/COUNT(B74:D74)/86400,"")</f>
        <v/>
      </c>
      <c r="F74" s="15" t="n">
        <f aca="false">IFERROR(N(F73)+N(E74),"")</f>
        <v>0.0349131944444445</v>
      </c>
    </row>
  </sheetData>
  <conditionalFormatting sqref="B8:D74">
    <cfRule type="expression" priority="2" aboveAverage="0" equalAverage="0" bottom="0" percent="0" rank="0" text="" dxfId="0">
      <formula>AND(B8&lt;&gt;"",MOD(B8,100)&gt;59)</formula>
    </cfRule>
  </conditionalFormatting>
  <dataValidations count="1">
    <dataValidation allowBlank="true" error="Type the stopwatch digits with no colon: 135 for 1 min 35 sec, 47 for 47 seconds. Max 1559." errorStyle="stop" errorTitle="Digits only" operator="between" showDropDown="false" showErrorMessage="true" showInputMessage="false" sqref="B8:D74" type="whole">
      <formula1>0</formula1>
      <formula2>1559</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3"/>
  <sheetViews>
    <sheetView showFormulas="false" showGridLines="false" showRowColHeaders="true" showZeros="true" rightToLeft="false" tabSelected="false" showOutlineSymbols="true" defaultGridColor="true" view="normal" topLeftCell="A69" colorId="64" zoomScale="100" zoomScaleNormal="100" zoomScalePageLayoutView="100" workbookViewId="0">
      <selection pane="topLeft" activeCell="A1" activeCellId="0" sqref="A1"/>
    </sheetView>
  </sheetViews>
  <sheetFormatPr defaultColWidth="8.71484375" defaultRowHeight="15" zeroHeight="false" outlineLevelRow="0" outlineLevelCol="0"/>
  <cols>
    <col collapsed="false" customWidth="true" hidden="false" outlineLevel="0" max="1" min="1" style="0" width="30"/>
    <col collapsed="false" customWidth="true" hidden="false" outlineLevel="0" max="2" min="2" style="0" width="28"/>
    <col collapsed="false" customWidth="true" hidden="false" outlineLevel="0" max="3" min="3" style="0" width="11"/>
  </cols>
  <sheetData>
    <row r="1" customFormat="false" ht="18" hidden="false" customHeight="true" outlineLevel="0" collapsed="false">
      <c r="A1" s="1" t="s">
        <v>279</v>
      </c>
    </row>
    <row r="3" customFormat="false" ht="15" hidden="false" customHeight="false" outlineLevel="0" collapsed="false">
      <c r="A3" s="24" t="s">
        <v>280</v>
      </c>
      <c r="B3" s="24" t="s">
        <v>281</v>
      </c>
      <c r="C3" s="24" t="s">
        <v>282</v>
      </c>
    </row>
    <row r="4" customFormat="false" ht="15" hidden="false" customHeight="false" outlineLevel="0" collapsed="false">
      <c r="A4" s="5" t="s">
        <v>190</v>
      </c>
      <c r="B4" s="5" t="s">
        <v>283</v>
      </c>
      <c r="C4" s="5" t="s">
        <v>284</v>
      </c>
    </row>
    <row r="5" customFormat="false" ht="15" hidden="false" customHeight="false" outlineLevel="0" collapsed="false">
      <c r="A5" s="5" t="s">
        <v>221</v>
      </c>
      <c r="B5" s="5" t="s">
        <v>28</v>
      </c>
      <c r="C5" s="5"/>
    </row>
    <row r="6" customFormat="false" ht="15" hidden="false" customHeight="false" outlineLevel="0" collapsed="false">
      <c r="A6" s="5" t="s">
        <v>215</v>
      </c>
      <c r="B6" s="5" t="s">
        <v>285</v>
      </c>
      <c r="C6" s="5" t="s">
        <v>284</v>
      </c>
    </row>
    <row r="7" customFormat="false" ht="15" hidden="false" customHeight="false" outlineLevel="0" collapsed="false">
      <c r="A7" s="5" t="s">
        <v>172</v>
      </c>
      <c r="B7" s="5" t="s">
        <v>27</v>
      </c>
      <c r="C7" s="5"/>
    </row>
    <row r="8" customFormat="false" ht="15" hidden="false" customHeight="false" outlineLevel="0" collapsed="false">
      <c r="A8" s="5" t="s">
        <v>248</v>
      </c>
      <c r="B8" s="5" t="s">
        <v>30</v>
      </c>
      <c r="C8" s="5"/>
    </row>
    <row r="9" customFormat="false" ht="15" hidden="false" customHeight="false" outlineLevel="0" collapsed="false">
      <c r="A9" s="5" t="s">
        <v>111</v>
      </c>
      <c r="B9" s="5" t="s">
        <v>286</v>
      </c>
      <c r="C9" s="5" t="s">
        <v>284</v>
      </c>
    </row>
    <row r="10" customFormat="false" ht="15" hidden="false" customHeight="false" outlineLevel="0" collapsed="false">
      <c r="A10" s="5" t="s">
        <v>186</v>
      </c>
      <c r="B10" s="5" t="s">
        <v>283</v>
      </c>
      <c r="C10" s="5" t="s">
        <v>284</v>
      </c>
    </row>
    <row r="11" customFormat="false" ht="15" hidden="false" customHeight="false" outlineLevel="0" collapsed="false">
      <c r="A11" s="5" t="s">
        <v>60</v>
      </c>
      <c r="B11" s="5" t="s">
        <v>25</v>
      </c>
      <c r="C11" s="5"/>
    </row>
    <row r="12" customFormat="false" ht="15" hidden="false" customHeight="false" outlineLevel="0" collapsed="false">
      <c r="A12" s="5" t="s">
        <v>160</v>
      </c>
      <c r="B12" s="5" t="s">
        <v>287</v>
      </c>
      <c r="C12" s="5" t="s">
        <v>284</v>
      </c>
    </row>
    <row r="13" customFormat="false" ht="15" hidden="false" customHeight="false" outlineLevel="0" collapsed="false">
      <c r="A13" s="5" t="s">
        <v>231</v>
      </c>
      <c r="B13" s="5" t="s">
        <v>28</v>
      </c>
      <c r="C13" s="5"/>
    </row>
    <row r="14" customFormat="false" ht="15" hidden="false" customHeight="false" outlineLevel="0" collapsed="false">
      <c r="A14" s="5" t="s">
        <v>88</v>
      </c>
      <c r="B14" s="5" t="s">
        <v>25</v>
      </c>
      <c r="C14" s="5"/>
    </row>
    <row r="15" customFormat="false" ht="15" hidden="false" customHeight="false" outlineLevel="0" collapsed="false">
      <c r="A15" s="5" t="s">
        <v>188</v>
      </c>
      <c r="B15" s="5" t="s">
        <v>283</v>
      </c>
      <c r="C15" s="5" t="s">
        <v>284</v>
      </c>
    </row>
    <row r="16" customFormat="false" ht="15" hidden="false" customHeight="false" outlineLevel="0" collapsed="false">
      <c r="A16" s="5" t="s">
        <v>135</v>
      </c>
      <c r="B16" s="5" t="s">
        <v>288</v>
      </c>
      <c r="C16" s="5" t="s">
        <v>284</v>
      </c>
    </row>
    <row r="17" customFormat="false" ht="15" hidden="false" customHeight="false" outlineLevel="0" collapsed="false">
      <c r="A17" s="5" t="s">
        <v>147</v>
      </c>
      <c r="B17" s="5" t="s">
        <v>26</v>
      </c>
      <c r="C17" s="5"/>
    </row>
    <row r="18" customFormat="false" ht="15" hidden="false" customHeight="false" outlineLevel="0" collapsed="false">
      <c r="A18" s="5" t="s">
        <v>115</v>
      </c>
      <c r="B18" s="5" t="s">
        <v>286</v>
      </c>
      <c r="C18" s="5" t="s">
        <v>284</v>
      </c>
    </row>
    <row r="19" customFormat="false" ht="15" hidden="false" customHeight="false" outlineLevel="0" collapsed="false">
      <c r="A19" s="5" t="s">
        <v>68</v>
      </c>
      <c r="B19" s="5" t="s">
        <v>25</v>
      </c>
      <c r="C19" s="5"/>
    </row>
    <row r="20" customFormat="false" ht="15" hidden="false" customHeight="false" outlineLevel="0" collapsed="false">
      <c r="A20" s="5" t="s">
        <v>199</v>
      </c>
      <c r="B20" s="5" t="s">
        <v>28</v>
      </c>
      <c r="C20" s="5"/>
    </row>
    <row r="21" customFormat="false" ht="15" hidden="false" customHeight="false" outlineLevel="0" collapsed="false">
      <c r="A21" s="5" t="s">
        <v>207</v>
      </c>
      <c r="B21" s="5" t="s">
        <v>28</v>
      </c>
      <c r="C21" s="5"/>
    </row>
    <row r="22" customFormat="false" ht="15" hidden="false" customHeight="false" outlineLevel="0" collapsed="false">
      <c r="A22" s="5" t="s">
        <v>223</v>
      </c>
      <c r="B22" s="5" t="s">
        <v>28</v>
      </c>
      <c r="C22" s="5"/>
    </row>
    <row r="23" customFormat="false" ht="15" hidden="false" customHeight="false" outlineLevel="0" collapsed="false">
      <c r="A23" s="5" t="s">
        <v>117</v>
      </c>
      <c r="B23" s="5" t="s">
        <v>286</v>
      </c>
      <c r="C23" s="5" t="s">
        <v>284</v>
      </c>
    </row>
    <row r="24" customFormat="false" ht="15" hidden="false" customHeight="false" outlineLevel="0" collapsed="false">
      <c r="A24" s="5" t="s">
        <v>166</v>
      </c>
      <c r="B24" s="5" t="s">
        <v>287</v>
      </c>
      <c r="C24" s="5" t="s">
        <v>284</v>
      </c>
    </row>
    <row r="25" customFormat="false" ht="15" hidden="false" customHeight="false" outlineLevel="0" collapsed="false">
      <c r="A25" s="5" t="s">
        <v>145</v>
      </c>
      <c r="B25" s="5" t="s">
        <v>26</v>
      </c>
      <c r="C25" s="5"/>
    </row>
    <row r="26" customFormat="false" ht="15" hidden="false" customHeight="false" outlineLevel="0" collapsed="false">
      <c r="A26" s="5" t="s">
        <v>194</v>
      </c>
      <c r="B26" s="5" t="s">
        <v>283</v>
      </c>
      <c r="C26" s="5" t="s">
        <v>284</v>
      </c>
    </row>
    <row r="27" customFormat="false" ht="15" hidden="false" customHeight="false" outlineLevel="0" collapsed="false">
      <c r="A27" s="5" t="s">
        <v>105</v>
      </c>
      <c r="B27" s="5" t="s">
        <v>26</v>
      </c>
      <c r="C27" s="5"/>
    </row>
    <row r="28" customFormat="false" ht="15" hidden="false" customHeight="false" outlineLevel="0" collapsed="false">
      <c r="A28" s="5" t="s">
        <v>72</v>
      </c>
      <c r="B28" s="5" t="s">
        <v>25</v>
      </c>
      <c r="C28" s="5"/>
    </row>
    <row r="29" customFormat="false" ht="15" hidden="false" customHeight="false" outlineLevel="0" collapsed="false">
      <c r="A29" s="5" t="s">
        <v>109</v>
      </c>
      <c r="B29" s="5" t="s">
        <v>286</v>
      </c>
      <c r="C29" s="5" t="s">
        <v>284</v>
      </c>
    </row>
    <row r="30" customFormat="false" ht="15" hidden="false" customHeight="false" outlineLevel="0" collapsed="false">
      <c r="A30" s="5" t="s">
        <v>137</v>
      </c>
      <c r="B30" s="5" t="s">
        <v>288</v>
      </c>
      <c r="C30" s="5" t="s">
        <v>284</v>
      </c>
    </row>
    <row r="31" customFormat="false" ht="15" hidden="false" customHeight="false" outlineLevel="0" collapsed="false">
      <c r="A31" s="5" t="s">
        <v>236</v>
      </c>
      <c r="B31" s="5" t="s">
        <v>29</v>
      </c>
      <c r="C31" s="5"/>
    </row>
    <row r="32" customFormat="false" ht="15" hidden="false" customHeight="false" outlineLevel="0" collapsed="false">
      <c r="A32" s="5" t="s">
        <v>74</v>
      </c>
      <c r="B32" s="5" t="s">
        <v>25</v>
      </c>
      <c r="C32" s="5"/>
    </row>
    <row r="33" customFormat="false" ht="15" hidden="false" customHeight="false" outlineLevel="0" collapsed="false">
      <c r="A33" s="5" t="s">
        <v>123</v>
      </c>
      <c r="B33" s="5" t="s">
        <v>288</v>
      </c>
      <c r="C33" s="5" t="s">
        <v>284</v>
      </c>
    </row>
    <row r="34" customFormat="false" ht="15" hidden="false" customHeight="false" outlineLevel="0" collapsed="false">
      <c r="A34" s="5" t="s">
        <v>133</v>
      </c>
      <c r="B34" s="5" t="s">
        <v>288</v>
      </c>
      <c r="C34" s="5" t="s">
        <v>284</v>
      </c>
    </row>
    <row r="35" customFormat="false" ht="15" hidden="false" customHeight="false" outlineLevel="0" collapsed="false">
      <c r="A35" s="5" t="s">
        <v>127</v>
      </c>
      <c r="B35" s="5" t="s">
        <v>288</v>
      </c>
      <c r="C35" s="5" t="s">
        <v>284</v>
      </c>
    </row>
    <row r="36" customFormat="false" ht="15" hidden="false" customHeight="false" outlineLevel="0" collapsed="false">
      <c r="A36" s="5" t="s">
        <v>121</v>
      </c>
      <c r="B36" s="5" t="s">
        <v>288</v>
      </c>
      <c r="C36" s="5" t="s">
        <v>284</v>
      </c>
    </row>
    <row r="37" customFormat="false" ht="15" hidden="false" customHeight="false" outlineLevel="0" collapsed="false">
      <c r="A37" s="5" t="s">
        <v>96</v>
      </c>
      <c r="B37" s="5" t="s">
        <v>25</v>
      </c>
      <c r="C37" s="5"/>
    </row>
    <row r="38" customFormat="false" ht="15" hidden="false" customHeight="false" outlineLevel="0" collapsed="false">
      <c r="A38" s="5" t="s">
        <v>90</v>
      </c>
      <c r="B38" s="5" t="s">
        <v>289</v>
      </c>
      <c r="C38" s="5" t="s">
        <v>284</v>
      </c>
    </row>
    <row r="39" customFormat="false" ht="15" hidden="false" customHeight="false" outlineLevel="0" collapsed="false">
      <c r="A39" s="5" t="s">
        <v>154</v>
      </c>
      <c r="B39" s="5" t="s">
        <v>27</v>
      </c>
      <c r="C39" s="5"/>
    </row>
    <row r="40" customFormat="false" ht="15" hidden="false" customHeight="false" outlineLevel="0" collapsed="false">
      <c r="A40" s="5" t="s">
        <v>62</v>
      </c>
      <c r="B40" s="5" t="s">
        <v>25</v>
      </c>
      <c r="C40" s="5"/>
    </row>
    <row r="41" customFormat="false" ht="15" hidden="false" customHeight="false" outlineLevel="0" collapsed="false">
      <c r="A41" s="5" t="s">
        <v>78</v>
      </c>
      <c r="B41" s="5" t="s">
        <v>290</v>
      </c>
      <c r="C41" s="5" t="s">
        <v>284</v>
      </c>
    </row>
    <row r="42" customFormat="false" ht="15" hidden="false" customHeight="false" outlineLevel="0" collapsed="false">
      <c r="A42" s="5" t="s">
        <v>205</v>
      </c>
      <c r="B42" s="5" t="s">
        <v>28</v>
      </c>
      <c r="C42" s="5"/>
    </row>
    <row r="43" customFormat="false" ht="15" hidden="false" customHeight="false" outlineLevel="0" collapsed="false">
      <c r="A43" s="5" t="s">
        <v>100</v>
      </c>
      <c r="B43" s="5" t="s">
        <v>25</v>
      </c>
      <c r="C43" s="5"/>
    </row>
    <row r="44" customFormat="false" ht="15" hidden="false" customHeight="false" outlineLevel="0" collapsed="false">
      <c r="A44" s="5" t="s">
        <v>197</v>
      </c>
      <c r="B44" s="5" t="s">
        <v>28</v>
      </c>
      <c r="C44" s="5"/>
    </row>
    <row r="45" customFormat="false" ht="15" hidden="false" customHeight="false" outlineLevel="0" collapsed="false">
      <c r="A45" s="5" t="s">
        <v>264</v>
      </c>
      <c r="B45" s="5" t="s">
        <v>30</v>
      </c>
      <c r="C45" s="5"/>
    </row>
    <row r="46" customFormat="false" ht="15" hidden="false" customHeight="false" outlineLevel="0" collapsed="false">
      <c r="A46" s="5" t="s">
        <v>56</v>
      </c>
      <c r="B46" s="5" t="s">
        <v>25</v>
      </c>
      <c r="C46" s="5"/>
    </row>
    <row r="47" customFormat="false" ht="15" hidden="false" customHeight="false" outlineLevel="0" collapsed="false">
      <c r="A47" s="5" t="s">
        <v>256</v>
      </c>
      <c r="B47" s="5" t="s">
        <v>30</v>
      </c>
      <c r="C47" s="5"/>
    </row>
    <row r="48" customFormat="false" ht="15" hidden="false" customHeight="false" outlineLevel="0" collapsed="false">
      <c r="A48" s="5" t="s">
        <v>234</v>
      </c>
      <c r="B48" s="5" t="s">
        <v>29</v>
      </c>
      <c r="C48" s="5"/>
    </row>
    <row r="49" customFormat="false" ht="15" hidden="false" customHeight="false" outlineLevel="0" collapsed="false">
      <c r="A49" s="5" t="s">
        <v>201</v>
      </c>
      <c r="B49" s="5" t="s">
        <v>28</v>
      </c>
      <c r="C49" s="5"/>
    </row>
    <row r="50" customFormat="false" ht="15" hidden="false" customHeight="false" outlineLevel="0" collapsed="false">
      <c r="A50" s="5" t="s">
        <v>254</v>
      </c>
      <c r="B50" s="5" t="s">
        <v>30</v>
      </c>
      <c r="C50" s="5"/>
    </row>
    <row r="51" customFormat="false" ht="15" hidden="false" customHeight="false" outlineLevel="0" collapsed="false">
      <c r="A51" s="5" t="s">
        <v>80</v>
      </c>
      <c r="B51" s="5" t="s">
        <v>25</v>
      </c>
      <c r="C51" s="5"/>
    </row>
    <row r="52" customFormat="false" ht="15" hidden="false" customHeight="false" outlineLevel="0" collapsed="false">
      <c r="A52" s="5" t="s">
        <v>158</v>
      </c>
      <c r="B52" s="5" t="s">
        <v>287</v>
      </c>
      <c r="C52" s="5" t="s">
        <v>284</v>
      </c>
    </row>
    <row r="53" customFormat="false" ht="15" hidden="false" customHeight="false" outlineLevel="0" collapsed="false">
      <c r="A53" s="5" t="s">
        <v>131</v>
      </c>
      <c r="B53" s="5" t="s">
        <v>291</v>
      </c>
      <c r="C53" s="5" t="s">
        <v>284</v>
      </c>
    </row>
    <row r="54" customFormat="false" ht="15" hidden="false" customHeight="false" outlineLevel="0" collapsed="false">
      <c r="A54" s="5" t="s">
        <v>149</v>
      </c>
      <c r="B54" s="5" t="s">
        <v>26</v>
      </c>
      <c r="C54" s="5"/>
    </row>
    <row r="55" customFormat="false" ht="15" hidden="false" customHeight="false" outlineLevel="0" collapsed="false">
      <c r="A55" s="5" t="s">
        <v>250</v>
      </c>
      <c r="B55" s="5" t="s">
        <v>30</v>
      </c>
      <c r="C55" s="5"/>
    </row>
    <row r="56" customFormat="false" ht="15" hidden="false" customHeight="false" outlineLevel="0" collapsed="false">
      <c r="A56" s="5" t="s">
        <v>268</v>
      </c>
      <c r="B56" s="5" t="s">
        <v>30</v>
      </c>
      <c r="C56" s="5"/>
    </row>
    <row r="57" customFormat="false" ht="15" hidden="false" customHeight="false" outlineLevel="0" collapsed="false">
      <c r="A57" s="5" t="s">
        <v>125</v>
      </c>
      <c r="B57" s="5" t="s">
        <v>288</v>
      </c>
      <c r="C57" s="5" t="s">
        <v>284</v>
      </c>
    </row>
    <row r="58" customFormat="false" ht="15" hidden="false" customHeight="false" outlineLevel="0" collapsed="false">
      <c r="A58" s="5" t="s">
        <v>58</v>
      </c>
      <c r="B58" s="5" t="s">
        <v>25</v>
      </c>
      <c r="C58" s="5"/>
    </row>
    <row r="59" customFormat="false" ht="15" hidden="false" customHeight="false" outlineLevel="0" collapsed="false">
      <c r="A59" s="5" t="s">
        <v>76</v>
      </c>
      <c r="B59" s="5" t="s">
        <v>292</v>
      </c>
      <c r="C59" s="5" t="s">
        <v>284</v>
      </c>
    </row>
    <row r="60" customFormat="false" ht="15" hidden="false" customHeight="false" outlineLevel="0" collapsed="false">
      <c r="A60" s="5" t="s">
        <v>143</v>
      </c>
      <c r="B60" s="5" t="s">
        <v>26</v>
      </c>
      <c r="C60" s="5"/>
    </row>
    <row r="61" customFormat="false" ht="15" hidden="false" customHeight="false" outlineLevel="0" collapsed="false">
      <c r="A61" s="5" t="s">
        <v>192</v>
      </c>
      <c r="B61" s="5" t="s">
        <v>283</v>
      </c>
      <c r="C61" s="5" t="s">
        <v>284</v>
      </c>
    </row>
    <row r="62" customFormat="false" ht="15" hidden="false" customHeight="false" outlineLevel="0" collapsed="false">
      <c r="A62" s="5" t="s">
        <v>213</v>
      </c>
      <c r="B62" s="5" t="s">
        <v>285</v>
      </c>
      <c r="C62" s="5" t="s">
        <v>284</v>
      </c>
    </row>
    <row r="63" customFormat="false" ht="15" hidden="false" customHeight="false" outlineLevel="0" collapsed="false">
      <c r="A63" s="5" t="s">
        <v>219</v>
      </c>
      <c r="B63" s="5" t="s">
        <v>28</v>
      </c>
      <c r="C63" s="5"/>
    </row>
    <row r="64" customFormat="false" ht="15" hidden="false" customHeight="false" outlineLevel="0" collapsed="false">
      <c r="A64" s="5" t="s">
        <v>227</v>
      </c>
      <c r="B64" s="5" t="s">
        <v>28</v>
      </c>
      <c r="C64" s="5"/>
    </row>
    <row r="65" customFormat="false" ht="15" hidden="false" customHeight="false" outlineLevel="0" collapsed="false">
      <c r="A65" s="5" t="s">
        <v>151</v>
      </c>
      <c r="B65" s="5" t="s">
        <v>26</v>
      </c>
      <c r="C65" s="5"/>
    </row>
    <row r="66" customFormat="false" ht="15" hidden="false" customHeight="false" outlineLevel="0" collapsed="false">
      <c r="A66" s="5" t="s">
        <v>84</v>
      </c>
      <c r="B66" s="5" t="s">
        <v>25</v>
      </c>
      <c r="C66" s="5"/>
    </row>
    <row r="67" customFormat="false" ht="15" hidden="false" customHeight="false" outlineLevel="0" collapsed="false">
      <c r="A67" s="5" t="s">
        <v>54</v>
      </c>
      <c r="B67" s="5" t="s">
        <v>25</v>
      </c>
      <c r="C67" s="5"/>
    </row>
    <row r="68" customFormat="false" ht="15" hidden="false" customHeight="false" outlineLevel="0" collapsed="false">
      <c r="A68" s="5" t="s">
        <v>170</v>
      </c>
      <c r="B68" s="5" t="s">
        <v>287</v>
      </c>
      <c r="C68" s="5" t="s">
        <v>284</v>
      </c>
    </row>
    <row r="69" customFormat="false" ht="15" hidden="false" customHeight="false" outlineLevel="0" collapsed="false">
      <c r="A69" s="5" t="s">
        <v>168</v>
      </c>
      <c r="B69" s="5" t="s">
        <v>287</v>
      </c>
      <c r="C69" s="5" t="s">
        <v>284</v>
      </c>
    </row>
    <row r="70" customFormat="false" ht="15" hidden="false" customHeight="false" outlineLevel="0" collapsed="false">
      <c r="A70" s="5" t="s">
        <v>139</v>
      </c>
      <c r="B70" s="5" t="s">
        <v>288</v>
      </c>
      <c r="C70" s="5" t="s">
        <v>284</v>
      </c>
    </row>
    <row r="71" customFormat="false" ht="15" hidden="false" customHeight="false" outlineLevel="0" collapsed="false">
      <c r="A71" s="5" t="s">
        <v>162</v>
      </c>
      <c r="B71" s="5" t="s">
        <v>287</v>
      </c>
      <c r="C71" s="5" t="s">
        <v>284</v>
      </c>
    </row>
    <row r="72" customFormat="false" ht="15" hidden="false" customHeight="false" outlineLevel="0" collapsed="false">
      <c r="A72" s="5" t="s">
        <v>164</v>
      </c>
      <c r="B72" s="5" t="s">
        <v>287</v>
      </c>
      <c r="C72" s="5" t="s">
        <v>284</v>
      </c>
    </row>
    <row r="73" customFormat="false" ht="15" hidden="false" customHeight="false" outlineLevel="0" collapsed="false">
      <c r="A73" s="5" t="s">
        <v>258</v>
      </c>
      <c r="B73" s="5" t="s">
        <v>30</v>
      </c>
      <c r="C73" s="5"/>
    </row>
    <row r="74" customFormat="false" ht="15" hidden="false" customHeight="false" outlineLevel="0" collapsed="false">
      <c r="A74" s="5" t="s">
        <v>86</v>
      </c>
      <c r="B74" s="5" t="s">
        <v>25</v>
      </c>
      <c r="C74" s="5"/>
    </row>
    <row r="75" customFormat="false" ht="15" hidden="false" customHeight="false" outlineLevel="0" collapsed="false">
      <c r="A75" s="5" t="s">
        <v>50</v>
      </c>
      <c r="B75" s="5" t="s">
        <v>25</v>
      </c>
      <c r="C75" s="5"/>
    </row>
    <row r="76" customFormat="false" ht="15" hidden="false" customHeight="false" outlineLevel="0" collapsed="false">
      <c r="A76" s="5" t="s">
        <v>119</v>
      </c>
      <c r="B76" s="5" t="s">
        <v>288</v>
      </c>
      <c r="C76" s="5" t="s">
        <v>284</v>
      </c>
    </row>
    <row r="77" customFormat="false" ht="15" hidden="false" customHeight="false" outlineLevel="0" collapsed="false">
      <c r="A77" s="5" t="s">
        <v>48</v>
      </c>
      <c r="B77" s="5" t="s">
        <v>25</v>
      </c>
      <c r="C77" s="5"/>
    </row>
    <row r="78" customFormat="false" ht="15" hidden="false" customHeight="false" outlineLevel="0" collapsed="false">
      <c r="A78" s="5" t="s">
        <v>211</v>
      </c>
      <c r="B78" s="5" t="s">
        <v>28</v>
      </c>
      <c r="C78" s="5"/>
    </row>
    <row r="79" customFormat="false" ht="15" hidden="false" customHeight="false" outlineLevel="0" collapsed="false">
      <c r="A79" s="5" t="s">
        <v>94</v>
      </c>
      <c r="B79" s="5" t="s">
        <v>25</v>
      </c>
      <c r="C79" s="5"/>
    </row>
    <row r="80" customFormat="false" ht="15" hidden="false" customHeight="false" outlineLevel="0" collapsed="false">
      <c r="A80" s="5" t="s">
        <v>129</v>
      </c>
      <c r="B80" s="5" t="s">
        <v>288</v>
      </c>
      <c r="C80" s="5" t="s">
        <v>284</v>
      </c>
    </row>
    <row r="81" customFormat="false" ht="15" hidden="false" customHeight="false" outlineLevel="0" collapsed="false">
      <c r="A81" s="5" t="s">
        <v>225</v>
      </c>
      <c r="B81" s="5" t="s">
        <v>28</v>
      </c>
      <c r="C81" s="5"/>
    </row>
    <row r="82" customFormat="false" ht="15" hidden="false" customHeight="false" outlineLevel="0" collapsed="false">
      <c r="A82" s="5" t="s">
        <v>262</v>
      </c>
      <c r="B82" s="5" t="s">
        <v>30</v>
      </c>
      <c r="C82" s="5"/>
    </row>
    <row r="83" customFormat="false" ht="15" hidden="false" customHeight="false" outlineLevel="0" collapsed="false">
      <c r="A83" s="5" t="s">
        <v>141</v>
      </c>
      <c r="B83" s="5" t="s">
        <v>288</v>
      </c>
      <c r="C83" s="5" t="s">
        <v>284</v>
      </c>
    </row>
    <row r="84" customFormat="false" ht="15" hidden="false" customHeight="false" outlineLevel="0" collapsed="false">
      <c r="A84" s="5" t="s">
        <v>229</v>
      </c>
      <c r="B84" s="5" t="s">
        <v>28</v>
      </c>
      <c r="C84" s="5"/>
    </row>
    <row r="85" customFormat="false" ht="15" hidden="false" customHeight="false" outlineLevel="0" collapsed="false">
      <c r="A85" s="5" t="s">
        <v>92</v>
      </c>
      <c r="B85" s="5" t="s">
        <v>25</v>
      </c>
      <c r="C85" s="5"/>
    </row>
    <row r="86" customFormat="false" ht="15" hidden="false" customHeight="false" outlineLevel="0" collapsed="false">
      <c r="A86" s="5" t="s">
        <v>64</v>
      </c>
      <c r="B86" s="5" t="s">
        <v>25</v>
      </c>
      <c r="C86" s="5"/>
    </row>
    <row r="87" customFormat="false" ht="15" hidden="false" customHeight="false" outlineLevel="0" collapsed="false">
      <c r="A87" s="5" t="s">
        <v>52</v>
      </c>
      <c r="B87" s="5" t="s">
        <v>25</v>
      </c>
      <c r="C87" s="5"/>
    </row>
    <row r="88" customFormat="false" ht="15" hidden="false" customHeight="false" outlineLevel="0" collapsed="false">
      <c r="A88" s="5" t="s">
        <v>266</v>
      </c>
      <c r="B88" s="5" t="s">
        <v>30</v>
      </c>
      <c r="C88" s="5"/>
    </row>
    <row r="89" customFormat="false" ht="15" hidden="false" customHeight="false" outlineLevel="0" collapsed="false">
      <c r="A89" s="5" t="s">
        <v>209</v>
      </c>
      <c r="B89" s="5" t="s">
        <v>28</v>
      </c>
      <c r="C89" s="5"/>
    </row>
    <row r="90" customFormat="false" ht="15" hidden="false" customHeight="false" outlineLevel="0" collapsed="false">
      <c r="A90" s="5" t="s">
        <v>82</v>
      </c>
      <c r="B90" s="5" t="s">
        <v>25</v>
      </c>
      <c r="C90" s="5"/>
    </row>
    <row r="91" customFormat="false" ht="15" hidden="false" customHeight="false" outlineLevel="0" collapsed="false">
      <c r="A91" s="5" t="s">
        <v>156</v>
      </c>
      <c r="B91" s="5" t="s">
        <v>27</v>
      </c>
      <c r="C91" s="5"/>
    </row>
    <row r="92" customFormat="false" ht="15" hidden="false" customHeight="false" outlineLevel="0" collapsed="false">
      <c r="A92" s="5" t="s">
        <v>66</v>
      </c>
      <c r="B92" s="5" t="s">
        <v>25</v>
      </c>
      <c r="C92" s="5"/>
    </row>
    <row r="93" customFormat="false" ht="15" hidden="false" customHeight="false" outlineLevel="0" collapsed="false">
      <c r="A93" s="5" t="s">
        <v>103</v>
      </c>
      <c r="B93" s="5" t="s">
        <v>26</v>
      </c>
      <c r="C93" s="5"/>
    </row>
    <row r="94" customFormat="false" ht="15" hidden="false" customHeight="false" outlineLevel="0" collapsed="false">
      <c r="A94" s="5" t="s">
        <v>113</v>
      </c>
      <c r="B94" s="5" t="s">
        <v>286</v>
      </c>
      <c r="C94" s="5" t="s">
        <v>284</v>
      </c>
    </row>
    <row r="95" customFormat="false" ht="15" hidden="false" customHeight="false" outlineLevel="0" collapsed="false">
      <c r="A95" s="5" t="s">
        <v>252</v>
      </c>
      <c r="B95" s="5" t="s">
        <v>30</v>
      </c>
      <c r="C95" s="5"/>
    </row>
    <row r="96" customFormat="false" ht="15" hidden="false" customHeight="false" outlineLevel="0" collapsed="false">
      <c r="A96" s="5" t="s">
        <v>217</v>
      </c>
      <c r="B96" s="5" t="s">
        <v>28</v>
      </c>
      <c r="C96" s="5"/>
    </row>
    <row r="97" customFormat="false" ht="15" hidden="false" customHeight="false" outlineLevel="0" collapsed="false">
      <c r="A97" s="5" t="s">
        <v>107</v>
      </c>
      <c r="B97" s="5" t="s">
        <v>26</v>
      </c>
      <c r="C97" s="5"/>
    </row>
    <row r="98" customFormat="false" ht="15" hidden="false" customHeight="false" outlineLevel="0" collapsed="false">
      <c r="A98" s="5" t="s">
        <v>203</v>
      </c>
      <c r="B98" s="5" t="s">
        <v>28</v>
      </c>
      <c r="C98" s="5"/>
    </row>
    <row r="99" customFormat="false" ht="15" hidden="false" customHeight="false" outlineLevel="0" collapsed="false">
      <c r="A99" s="5" t="s">
        <v>98</v>
      </c>
      <c r="B99" s="5" t="s">
        <v>25</v>
      </c>
      <c r="C99" s="5"/>
    </row>
    <row r="100" customFormat="false" ht="15" hidden="false" customHeight="false" outlineLevel="0" collapsed="false">
      <c r="A100" s="5" t="s">
        <v>260</v>
      </c>
      <c r="B100" s="5" t="s">
        <v>30</v>
      </c>
      <c r="C100" s="5"/>
    </row>
    <row r="101" customFormat="false" ht="15" hidden="false" customHeight="false" outlineLevel="0" collapsed="false">
      <c r="A101" s="5" t="s">
        <v>70</v>
      </c>
      <c r="B101" s="5" t="s">
        <v>25</v>
      </c>
      <c r="C101" s="5"/>
    </row>
    <row r="103" customFormat="false" ht="15" hidden="false" customHeight="false" outlineLevel="0" collapsed="false">
      <c r="A103" s="3" t="s">
        <v>293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2026-10-05T16:57:15Z</dcterms:created>
  <dc:creator>openpyxl</dc:creator>
  <dc:description/>
  <dc:language>en-US</dc:language>
  <cp:lastModifiedBy>Alex Lorman</cp:lastModifiedBy>
  <dcterms:modified xsi:type="dcterms:W3CDTF">2026-10-05T17:34:31Z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